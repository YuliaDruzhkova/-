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0" yWindow="0" windowWidth="23040" windowHeight="9192"/>
  </bookViews>
  <sheets>
    <sheet name="Лист1" sheetId="1" r:id="rId1"/>
    <sheet name="Лист2" sheetId="2" r:id="rId2"/>
    <sheet name="Лист3" sheetId="3" r:id="rId3"/>
  </sheets>
  <calcPr calcId="162913"/>
</workbook>
</file>

<file path=xl/calcChain.xml><?xml version="1.0" encoding="utf-8"?>
<calcChain xmlns="http://schemas.openxmlformats.org/spreadsheetml/2006/main">
  <c r="Y22" i="1" l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X22" i="1"/>
  <c r="Z21" i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K21" i="1" s="1"/>
  <c r="AL21" i="1" s="1"/>
  <c r="Y21" i="1"/>
  <c r="X21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X20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X19" i="1"/>
  <c r="AE18" i="1"/>
  <c r="AF18" i="1"/>
  <c r="AG18" i="1"/>
  <c r="AH18" i="1"/>
  <c r="AI18" i="1"/>
  <c r="AJ18" i="1"/>
  <c r="AK18" i="1"/>
  <c r="AL18" i="1"/>
  <c r="AD18" i="1"/>
  <c r="AC18" i="1"/>
  <c r="AB18" i="1"/>
  <c r="AA18" i="1"/>
  <c r="Z18" i="1"/>
  <c r="Y18" i="1"/>
  <c r="X18" i="1"/>
  <c r="AC7" i="1"/>
  <c r="AD7" i="1" s="1"/>
  <c r="AE7" i="1" s="1"/>
  <c r="AF7" i="1" s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X11" i="1"/>
  <c r="X12" i="1" s="1"/>
  <c r="E58" i="1"/>
  <c r="E59" i="1" s="1"/>
  <c r="E60" i="1" s="1"/>
  <c r="E61" i="1" s="1"/>
  <c r="E62" i="1" s="1"/>
  <c r="E63" i="1" s="1"/>
  <c r="E64" i="1" s="1"/>
  <c r="E65" i="1" s="1"/>
  <c r="E66" i="1" s="1"/>
  <c r="Q49" i="1"/>
  <c r="R49" i="1"/>
  <c r="S49" i="1"/>
  <c r="Q50" i="1"/>
  <c r="R50" i="1"/>
  <c r="S50" i="1"/>
  <c r="Q51" i="1"/>
  <c r="R51" i="1"/>
  <c r="S51" i="1"/>
  <c r="Q52" i="1"/>
  <c r="R52" i="1"/>
  <c r="S52" i="1"/>
  <c r="Q53" i="1"/>
  <c r="R53" i="1"/>
  <c r="S53" i="1"/>
  <c r="Q54" i="1"/>
  <c r="AI9" i="1" s="1"/>
  <c r="R54" i="1"/>
  <c r="AJ9" i="1" s="1"/>
  <c r="S54" i="1"/>
  <c r="AK9" i="1" s="1"/>
  <c r="P50" i="1"/>
  <c r="P51" i="1"/>
  <c r="P52" i="1"/>
  <c r="P53" i="1"/>
  <c r="P54" i="1"/>
  <c r="AH9" i="1" s="1"/>
  <c r="O50" i="1"/>
  <c r="O51" i="1"/>
  <c r="O52" i="1"/>
  <c r="O53" i="1"/>
  <c r="O54" i="1"/>
  <c r="AG9" i="1" s="1"/>
  <c r="N50" i="1"/>
  <c r="N51" i="1"/>
  <c r="N52" i="1"/>
  <c r="N53" i="1"/>
  <c r="AF9" i="1" s="1"/>
  <c r="M50" i="1"/>
  <c r="M51" i="1"/>
  <c r="M52" i="1"/>
  <c r="AE9" i="1" s="1"/>
  <c r="L50" i="1"/>
  <c r="L51" i="1"/>
  <c r="AD9" i="1" s="1"/>
  <c r="K50" i="1"/>
  <c r="AC9" i="1" s="1"/>
  <c r="H44" i="1"/>
  <c r="I44" i="1"/>
  <c r="J44" i="1"/>
  <c r="K44" i="1"/>
  <c r="L44" i="1"/>
  <c r="M44" i="1"/>
  <c r="N44" i="1"/>
  <c r="O44" i="1"/>
  <c r="P44" i="1"/>
  <c r="Q44" i="1"/>
  <c r="R44" i="1"/>
  <c r="S44" i="1"/>
  <c r="H45" i="1"/>
  <c r="I45" i="1"/>
  <c r="J45" i="1"/>
  <c r="K45" i="1"/>
  <c r="L45" i="1"/>
  <c r="M45" i="1"/>
  <c r="N45" i="1"/>
  <c r="O45" i="1"/>
  <c r="P45" i="1"/>
  <c r="Q45" i="1"/>
  <c r="R45" i="1"/>
  <c r="S45" i="1"/>
  <c r="H46" i="1"/>
  <c r="I46" i="1"/>
  <c r="J46" i="1"/>
  <c r="K46" i="1"/>
  <c r="L46" i="1"/>
  <c r="M46" i="1"/>
  <c r="N46" i="1"/>
  <c r="O46" i="1"/>
  <c r="P46" i="1"/>
  <c r="Q46" i="1"/>
  <c r="R46" i="1"/>
  <c r="S46" i="1"/>
  <c r="H47" i="1"/>
  <c r="I47" i="1"/>
  <c r="J47" i="1"/>
  <c r="K47" i="1"/>
  <c r="L47" i="1"/>
  <c r="M47" i="1"/>
  <c r="N47" i="1"/>
  <c r="O47" i="1"/>
  <c r="P47" i="1"/>
  <c r="Q47" i="1"/>
  <c r="R47" i="1"/>
  <c r="S47" i="1"/>
  <c r="H48" i="1"/>
  <c r="I48" i="1"/>
  <c r="J48" i="1"/>
  <c r="K48" i="1"/>
  <c r="L48" i="1"/>
  <c r="M48" i="1"/>
  <c r="N48" i="1"/>
  <c r="O48" i="1"/>
  <c r="P48" i="1"/>
  <c r="Q48" i="1"/>
  <c r="R48" i="1"/>
  <c r="S48" i="1"/>
  <c r="H49" i="1"/>
  <c r="Z9" i="1" s="1"/>
  <c r="I49" i="1"/>
  <c r="AA9" i="1" s="1"/>
  <c r="J49" i="1"/>
  <c r="AB9" i="1" s="1"/>
  <c r="K49" i="1"/>
  <c r="L49" i="1"/>
  <c r="M49" i="1"/>
  <c r="N49" i="1"/>
  <c r="O49" i="1"/>
  <c r="P49" i="1"/>
  <c r="G46" i="1"/>
  <c r="G47" i="1"/>
  <c r="G48" i="1"/>
  <c r="G49" i="1"/>
  <c r="Y9" i="1" s="1"/>
  <c r="G44" i="1"/>
  <c r="G45" i="1"/>
  <c r="T45" i="1"/>
  <c r="T46" i="1"/>
  <c r="T47" i="1"/>
  <c r="T48" i="1"/>
  <c r="T49" i="1"/>
  <c r="T50" i="1"/>
  <c r="T51" i="1"/>
  <c r="T52" i="1"/>
  <c r="T53" i="1"/>
  <c r="T54" i="1"/>
  <c r="AL9" i="1" s="1"/>
  <c r="T44" i="1"/>
  <c r="F46" i="1"/>
  <c r="F47" i="1"/>
  <c r="F48" i="1"/>
  <c r="F49" i="1"/>
  <c r="X9" i="1" s="1"/>
  <c r="F44" i="1"/>
  <c r="F45" i="1"/>
  <c r="E45" i="1"/>
  <c r="E46" i="1" s="1"/>
  <c r="E47" i="1" s="1"/>
  <c r="E48" i="1" s="1"/>
  <c r="E49" i="1" s="1"/>
  <c r="E50" i="1" s="1"/>
  <c r="E51" i="1" s="1"/>
  <c r="E52" i="1" s="1"/>
  <c r="E53" i="1" s="1"/>
  <c r="E32" i="1"/>
  <c r="E33" i="1" s="1"/>
  <c r="E34" i="1" s="1"/>
  <c r="E35" i="1" s="1"/>
  <c r="E36" i="1" s="1"/>
  <c r="E37" i="1" s="1"/>
  <c r="E38" i="1" s="1"/>
  <c r="E39" i="1" s="1"/>
  <c r="E40" i="1" s="1"/>
  <c r="F9" i="1" l="1"/>
  <c r="F36" i="1" s="1"/>
  <c r="S10" i="1"/>
  <c r="S11" i="1"/>
  <c r="S12" i="1"/>
  <c r="S13" i="1"/>
  <c r="S40" i="1" s="1"/>
  <c r="S66" i="1" s="1"/>
  <c r="S14" i="1"/>
  <c r="S41" i="1" s="1"/>
  <c r="R10" i="1"/>
  <c r="R11" i="1"/>
  <c r="R12" i="1"/>
  <c r="R13" i="1"/>
  <c r="R40" i="1" s="1"/>
  <c r="R66" i="1" s="1"/>
  <c r="R14" i="1"/>
  <c r="R41" i="1" s="1"/>
  <c r="Q10" i="1"/>
  <c r="Q11" i="1"/>
  <c r="Q12" i="1"/>
  <c r="Q13" i="1"/>
  <c r="Q40" i="1" s="1"/>
  <c r="Q66" i="1" s="1"/>
  <c r="Q14" i="1"/>
  <c r="Q41" i="1" s="1"/>
  <c r="P10" i="1"/>
  <c r="P11" i="1"/>
  <c r="P12" i="1"/>
  <c r="P13" i="1"/>
  <c r="P40" i="1" s="1"/>
  <c r="P66" i="1" s="1"/>
  <c r="P14" i="1"/>
  <c r="P41" i="1" s="1"/>
  <c r="O10" i="1"/>
  <c r="O11" i="1"/>
  <c r="O12" i="1"/>
  <c r="O13" i="1"/>
  <c r="O40" i="1" s="1"/>
  <c r="O66" i="1" s="1"/>
  <c r="O14" i="1"/>
  <c r="O41" i="1" s="1"/>
  <c r="N10" i="1"/>
  <c r="N11" i="1"/>
  <c r="N12" i="1"/>
  <c r="N39" i="1" s="1"/>
  <c r="N65" i="1" s="1"/>
  <c r="N13" i="1"/>
  <c r="N40" i="1" s="1"/>
  <c r="M10" i="1"/>
  <c r="M11" i="1"/>
  <c r="M38" i="1" s="1"/>
  <c r="M64" i="1" s="1"/>
  <c r="M12" i="1"/>
  <c r="M39" i="1" s="1"/>
  <c r="L10" i="1"/>
  <c r="L37" i="1" s="1"/>
  <c r="L63" i="1" s="1"/>
  <c r="L11" i="1"/>
  <c r="L38" i="1" s="1"/>
  <c r="K10" i="1"/>
  <c r="K37" i="1" s="1"/>
  <c r="H6" i="1"/>
  <c r="I6" i="1"/>
  <c r="J6" i="1"/>
  <c r="K6" i="1"/>
  <c r="L6" i="1"/>
  <c r="M6" i="1"/>
  <c r="N6" i="1"/>
  <c r="O6" i="1"/>
  <c r="P6" i="1"/>
  <c r="Q6" i="1"/>
  <c r="R6" i="1"/>
  <c r="H7" i="1"/>
  <c r="I7" i="1"/>
  <c r="J7" i="1"/>
  <c r="K7" i="1"/>
  <c r="L7" i="1"/>
  <c r="M7" i="1"/>
  <c r="N7" i="1"/>
  <c r="O7" i="1"/>
  <c r="P7" i="1"/>
  <c r="Q7" i="1"/>
  <c r="R7" i="1"/>
  <c r="H8" i="1"/>
  <c r="H35" i="1" s="1"/>
  <c r="H61" i="1" s="1"/>
  <c r="I8" i="1"/>
  <c r="I35" i="1" s="1"/>
  <c r="I61" i="1" s="1"/>
  <c r="J8" i="1"/>
  <c r="J35" i="1" s="1"/>
  <c r="J61" i="1" s="1"/>
  <c r="K8" i="1"/>
  <c r="L8" i="1"/>
  <c r="M8" i="1"/>
  <c r="N8" i="1"/>
  <c r="O8" i="1"/>
  <c r="P8" i="1"/>
  <c r="Q8" i="1"/>
  <c r="Q35" i="1" s="1"/>
  <c r="Q61" i="1" s="1"/>
  <c r="R8" i="1"/>
  <c r="H9" i="1"/>
  <c r="H36" i="1" s="1"/>
  <c r="I9" i="1"/>
  <c r="I36" i="1" s="1"/>
  <c r="J9" i="1"/>
  <c r="J36" i="1" s="1"/>
  <c r="K9" i="1"/>
  <c r="K36" i="1" s="1"/>
  <c r="K62" i="1" s="1"/>
  <c r="L9" i="1"/>
  <c r="M9" i="1"/>
  <c r="N9" i="1"/>
  <c r="N36" i="1" s="1"/>
  <c r="N62" i="1" s="1"/>
  <c r="O9" i="1"/>
  <c r="P9" i="1"/>
  <c r="P36" i="1" s="1"/>
  <c r="P62" i="1" s="1"/>
  <c r="Q9" i="1"/>
  <c r="R9" i="1"/>
  <c r="R36" i="1" s="1"/>
  <c r="R62" i="1" s="1"/>
  <c r="G6" i="1"/>
  <c r="E20" i="1"/>
  <c r="E21" i="1" s="1"/>
  <c r="E22" i="1" s="1"/>
  <c r="E23" i="1" s="1"/>
  <c r="E24" i="1" s="1"/>
  <c r="E25" i="1" s="1"/>
  <c r="E26" i="1" s="1"/>
  <c r="E27" i="1" s="1"/>
  <c r="E19" i="1"/>
  <c r="E6" i="1"/>
  <c r="E7" i="1" s="1"/>
  <c r="E8" i="1" s="1"/>
  <c r="E9" i="1" s="1"/>
  <c r="E10" i="1" s="1"/>
  <c r="O35" i="1" l="1"/>
  <c r="O61" i="1" s="1"/>
  <c r="F62" i="1"/>
  <c r="X10" i="1" s="1"/>
  <c r="X8" i="1"/>
  <c r="N35" i="1"/>
  <c r="N61" i="1" s="1"/>
  <c r="R39" i="1"/>
  <c r="R65" i="1" s="1"/>
  <c r="Q67" i="1"/>
  <c r="AI10" i="1" s="1"/>
  <c r="AI8" i="1"/>
  <c r="P67" i="1"/>
  <c r="AH10" i="1" s="1"/>
  <c r="AH8" i="1"/>
  <c r="O67" i="1"/>
  <c r="AG10" i="1" s="1"/>
  <c r="AG8" i="1"/>
  <c r="S67" i="1"/>
  <c r="AK10" i="1" s="1"/>
  <c r="AK8" i="1"/>
  <c r="R67" i="1"/>
  <c r="AJ10" i="1" s="1"/>
  <c r="AJ8" i="1"/>
  <c r="Q39" i="1"/>
  <c r="Q65" i="1" s="1"/>
  <c r="O38" i="1"/>
  <c r="O64" i="1" s="1"/>
  <c r="P37" i="1"/>
  <c r="P63" i="1" s="1"/>
  <c r="N66" i="1"/>
  <c r="AF10" i="1" s="1"/>
  <c r="AF8" i="1"/>
  <c r="O37" i="1"/>
  <c r="O63" i="1" s="1"/>
  <c r="P38" i="1"/>
  <c r="P64" i="1" s="1"/>
  <c r="M65" i="1"/>
  <c r="AE10" i="1" s="1"/>
  <c r="AE8" i="1"/>
  <c r="S37" i="1"/>
  <c r="S63" i="1" s="1"/>
  <c r="Q36" i="1"/>
  <c r="Q62" i="1" s="1"/>
  <c r="P35" i="1"/>
  <c r="P61" i="1" s="1"/>
  <c r="M37" i="1"/>
  <c r="M63" i="1" s="1"/>
  <c r="R37" i="1"/>
  <c r="R63" i="1" s="1"/>
  <c r="L36" i="1"/>
  <c r="L62" i="1" s="1"/>
  <c r="K35" i="1"/>
  <c r="K61" i="1" s="1"/>
  <c r="J62" i="1"/>
  <c r="AB10" i="1" s="1"/>
  <c r="AB8" i="1"/>
  <c r="K63" i="1"/>
  <c r="AC10" i="1" s="1"/>
  <c r="AC8" i="1"/>
  <c r="M34" i="1"/>
  <c r="M60" i="1" s="1"/>
  <c r="P33" i="1"/>
  <c r="P59" i="1" s="1"/>
  <c r="H33" i="1"/>
  <c r="H59" i="1" s="1"/>
  <c r="H62" i="1"/>
  <c r="Z10" i="1" s="1"/>
  <c r="Z8" i="1"/>
  <c r="I62" i="1"/>
  <c r="AA10" i="1" s="1"/>
  <c r="AA8" i="1"/>
  <c r="L64" i="1"/>
  <c r="AD10" i="1" s="1"/>
  <c r="AD8" i="1"/>
  <c r="N34" i="1"/>
  <c r="N60" i="1" s="1"/>
  <c r="J34" i="1"/>
  <c r="J60" i="1" s="1"/>
  <c r="Q33" i="1"/>
  <c r="Q59" i="1" s="1"/>
  <c r="M33" i="1"/>
  <c r="M59" i="1" s="1"/>
  <c r="I33" i="1"/>
  <c r="I59" i="1" s="1"/>
  <c r="M36" i="1"/>
  <c r="M62" i="1" s="1"/>
  <c r="L35" i="1"/>
  <c r="L61" i="1" s="1"/>
  <c r="O34" i="1"/>
  <c r="O60" i="1" s="1"/>
  <c r="R33" i="1"/>
  <c r="R59" i="1" s="1"/>
  <c r="J33" i="1"/>
  <c r="J59" i="1" s="1"/>
  <c r="E11" i="1"/>
  <c r="E12" i="1" s="1"/>
  <c r="E13" i="1" s="1"/>
  <c r="E14" i="1" s="1"/>
  <c r="B6" i="1"/>
  <c r="T14" i="1" s="1"/>
  <c r="O36" i="1"/>
  <c r="O62" i="1" s="1"/>
  <c r="R35" i="1"/>
  <c r="R61" i="1" s="1"/>
  <c r="L34" i="1"/>
  <c r="L60" i="1" s="1"/>
  <c r="O33" i="1"/>
  <c r="O59" i="1" s="1"/>
  <c r="N38" i="1"/>
  <c r="N64" i="1" s="1"/>
  <c r="Q37" i="1"/>
  <c r="Q63" i="1" s="1"/>
  <c r="S39" i="1"/>
  <c r="S65" i="1" s="1"/>
  <c r="Q38" i="1"/>
  <c r="Q64" i="1" s="1"/>
  <c r="K34" i="1"/>
  <c r="K60" i="1" s="1"/>
  <c r="N33" i="1"/>
  <c r="N59" i="1" s="1"/>
  <c r="N37" i="1"/>
  <c r="N63" i="1" s="1"/>
  <c r="P39" i="1"/>
  <c r="P65" i="1" s="1"/>
  <c r="S38" i="1"/>
  <c r="S64" i="1" s="1"/>
  <c r="R34" i="1"/>
  <c r="R60" i="1" s="1"/>
  <c r="Q34" i="1"/>
  <c r="Q60" i="1" s="1"/>
  <c r="I34" i="1"/>
  <c r="I60" i="1" s="1"/>
  <c r="L33" i="1"/>
  <c r="L59" i="1" s="1"/>
  <c r="M35" i="1"/>
  <c r="M61" i="1" s="1"/>
  <c r="P34" i="1"/>
  <c r="P60" i="1" s="1"/>
  <c r="H34" i="1"/>
  <c r="H60" i="1" s="1"/>
  <c r="K33" i="1"/>
  <c r="K59" i="1" s="1"/>
  <c r="O39" i="1"/>
  <c r="O65" i="1" s="1"/>
  <c r="R38" i="1"/>
  <c r="R64" i="1" s="1"/>
  <c r="F8" i="1"/>
  <c r="G7" i="1"/>
  <c r="G8" i="1"/>
  <c r="G35" i="1" s="1"/>
  <c r="G61" i="1" s="1"/>
  <c r="G9" i="1"/>
  <c r="G36" i="1" s="1"/>
  <c r="G62" i="1" l="1"/>
  <c r="Y10" i="1" s="1"/>
  <c r="Y11" i="1" s="1"/>
  <c r="Y8" i="1"/>
  <c r="F7" i="1"/>
  <c r="F35" i="1"/>
  <c r="F61" i="1" s="1"/>
  <c r="T13" i="1"/>
  <c r="T41" i="1"/>
  <c r="G34" i="1"/>
  <c r="G60" i="1" s="1"/>
  <c r="G33" i="1"/>
  <c r="G59" i="1" s="1"/>
  <c r="S9" i="1"/>
  <c r="S36" i="1" s="1"/>
  <c r="S62" i="1" s="1"/>
  <c r="T67" i="1" l="1"/>
  <c r="AL10" i="1" s="1"/>
  <c r="AL8" i="1"/>
  <c r="Z11" i="1"/>
  <c r="Y12" i="1"/>
  <c r="T12" i="1"/>
  <c r="T40" i="1"/>
  <c r="T66" i="1" s="1"/>
  <c r="F6" i="1"/>
  <c r="F34" i="1"/>
  <c r="F60" i="1" s="1"/>
  <c r="S8" i="1"/>
  <c r="S35" i="1" s="1"/>
  <c r="S61" i="1" s="1"/>
  <c r="AA11" i="1" l="1"/>
  <c r="Z12" i="1"/>
  <c r="F5" i="1"/>
  <c r="F33" i="1"/>
  <c r="F59" i="1" s="1"/>
  <c r="T11" i="1"/>
  <c r="T39" i="1"/>
  <c r="T65" i="1" s="1"/>
  <c r="S6" i="1"/>
  <c r="S33" i="1" s="1"/>
  <c r="S59" i="1" s="1"/>
  <c r="S7" i="1"/>
  <c r="S34" i="1" s="1"/>
  <c r="S60" i="1" s="1"/>
  <c r="AB11" i="1" l="1"/>
  <c r="AA12" i="1"/>
  <c r="T10" i="1"/>
  <c r="T38" i="1"/>
  <c r="T64" i="1" s="1"/>
  <c r="G5" i="1"/>
  <c r="F32" i="1"/>
  <c r="F58" i="1" s="1"/>
  <c r="F31" i="1"/>
  <c r="F57" i="1" s="1"/>
  <c r="AC11" i="1" l="1"/>
  <c r="AB12" i="1"/>
  <c r="H5" i="1"/>
  <c r="G32" i="1"/>
  <c r="G58" i="1" s="1"/>
  <c r="G31" i="1"/>
  <c r="G57" i="1" s="1"/>
  <c r="T9" i="1"/>
  <c r="T37" i="1"/>
  <c r="T63" i="1" s="1"/>
  <c r="AD11" i="1" l="1"/>
  <c r="AC12" i="1"/>
  <c r="T8" i="1"/>
  <c r="T36" i="1"/>
  <c r="T62" i="1" s="1"/>
  <c r="I5" i="1"/>
  <c r="H31" i="1"/>
  <c r="H57" i="1" s="1"/>
  <c r="H32" i="1"/>
  <c r="H58" i="1" s="1"/>
  <c r="AE11" i="1" l="1"/>
  <c r="AD12" i="1"/>
  <c r="J5" i="1"/>
  <c r="I31" i="1"/>
  <c r="I57" i="1" s="1"/>
  <c r="I32" i="1"/>
  <c r="I58" i="1" s="1"/>
  <c r="T7" i="1"/>
  <c r="T35" i="1"/>
  <c r="T61" i="1" s="1"/>
  <c r="AF11" i="1" l="1"/>
  <c r="AE12" i="1"/>
  <c r="T6" i="1"/>
  <c r="T33" i="1" s="1"/>
  <c r="T59" i="1" s="1"/>
  <c r="T34" i="1"/>
  <c r="T60" i="1" s="1"/>
  <c r="K5" i="1"/>
  <c r="J31" i="1"/>
  <c r="J57" i="1" s="1"/>
  <c r="J32" i="1"/>
  <c r="J58" i="1" s="1"/>
  <c r="AG11" i="1" l="1"/>
  <c r="AF12" i="1"/>
  <c r="L5" i="1"/>
  <c r="K31" i="1"/>
  <c r="K57" i="1" s="1"/>
  <c r="K32" i="1"/>
  <c r="K58" i="1" s="1"/>
  <c r="AH11" i="1" l="1"/>
  <c r="AG12" i="1"/>
  <c r="M5" i="1"/>
  <c r="L32" i="1"/>
  <c r="L58" i="1" s="1"/>
  <c r="L31" i="1"/>
  <c r="L57" i="1" s="1"/>
  <c r="AI11" i="1" l="1"/>
  <c r="AH12" i="1"/>
  <c r="N5" i="1"/>
  <c r="M32" i="1"/>
  <c r="M58" i="1" s="1"/>
  <c r="M31" i="1"/>
  <c r="M57" i="1" s="1"/>
  <c r="AJ11" i="1" l="1"/>
  <c r="AI12" i="1"/>
  <c r="O5" i="1"/>
  <c r="N32" i="1"/>
  <c r="N58" i="1" s="1"/>
  <c r="N31" i="1"/>
  <c r="N57" i="1" s="1"/>
  <c r="AK11" i="1" l="1"/>
  <c r="AJ12" i="1"/>
  <c r="P5" i="1"/>
  <c r="O32" i="1"/>
  <c r="O58" i="1" s="1"/>
  <c r="O31" i="1"/>
  <c r="O57" i="1" s="1"/>
  <c r="AL11" i="1" l="1"/>
  <c r="AL12" i="1" s="1"/>
  <c r="AK12" i="1"/>
  <c r="Q5" i="1"/>
  <c r="P31" i="1"/>
  <c r="P57" i="1" s="1"/>
  <c r="P32" i="1"/>
  <c r="P58" i="1" s="1"/>
  <c r="R5" i="1" l="1"/>
  <c r="Q31" i="1"/>
  <c r="Q57" i="1" s="1"/>
  <c r="Q32" i="1"/>
  <c r="Q58" i="1" s="1"/>
  <c r="S5" i="1" l="1"/>
  <c r="R31" i="1"/>
  <c r="R57" i="1" s="1"/>
  <c r="R32" i="1"/>
  <c r="R58" i="1" s="1"/>
  <c r="T5" i="1" l="1"/>
  <c r="S31" i="1"/>
  <c r="S57" i="1" s="1"/>
  <c r="S32" i="1"/>
  <c r="S58" i="1" s="1"/>
  <c r="T32" i="1" l="1"/>
  <c r="T58" i="1" s="1"/>
  <c r="T31" i="1"/>
  <c r="T57" i="1" s="1"/>
</calcChain>
</file>

<file path=xl/sharedStrings.xml><?xml version="1.0" encoding="utf-8"?>
<sst xmlns="http://schemas.openxmlformats.org/spreadsheetml/2006/main" count="32" uniqueCount="19">
  <si>
    <t>dx=dy</t>
  </si>
  <si>
    <t>V_in</t>
  </si>
  <si>
    <t>p_in</t>
  </si>
  <si>
    <t>V_out</t>
  </si>
  <si>
    <t>n_iter</t>
  </si>
  <si>
    <t>N_L</t>
  </si>
  <si>
    <t>N_H</t>
  </si>
  <si>
    <t>start_Row</t>
  </si>
  <si>
    <t>start_column</t>
  </si>
  <si>
    <t>ψ</t>
  </si>
  <si>
    <t>U</t>
  </si>
  <si>
    <t>V</t>
  </si>
  <si>
    <t>abs</t>
  </si>
  <si>
    <t>x</t>
  </si>
  <si>
    <t>y</t>
  </si>
  <si>
    <t>p</t>
  </si>
  <si>
    <t>Cp</t>
  </si>
  <si>
    <t>Нижняя граница</t>
  </si>
  <si>
    <t>Верхняя граница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</si>
</sst>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2" borderId="1" xfId="0" applyFill="1" applyBorder="1"/>
    <xf numFmtId="0" fontId="1" fillId="0" borderId="1" xfId="0" applyFont="1" applyBorder="1"/>
    <xf numFmtId="0" fontId="0" fillId="6" borderId="1" xfId="0" applyFill="1" applyBorder="1"/>
    <xf numFmtId="0" fontId="0" fillId="7" borderId="1" xfId="0" applyFill="1" applyBorder="1"/>
    <xf numFmtId="0" fontId="0" fillId="7" borderId="0" xfId="0" applyFill="1"/>
    <xf numFmtId="0" fontId="0" fillId="0" borderId="0" xfId="0" applyBorder="1"/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/>
    <xf numFmtId="0" fontId="1" fillId="0" borderId="0" xfId="0" applyFont="1" applyFill="1"/>
    <xf numFmtId="0" fontId="0" fillId="8" borderId="0" xfId="0" applyFill="1"/>
    <xf numFmtId="0" fontId="1" fillId="8" borderId="0" xfId="0" applyFont="1" applyFill="1"/>
    <xf numFmtId="0" fontId="0" fillId="3" borderId="1" xfId="0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320603674540683"/>
          <c:y val="0.16666666666666666"/>
          <c:w val="0.76415225503518192"/>
          <c:h val="0.62298813914083528"/>
        </c:manualLayout>
      </c:layout>
      <c:lineChart>
        <c:grouping val="standard"/>
        <c:varyColors val="0"/>
        <c:ser>
          <c:idx val="0"/>
          <c:order val="0"/>
          <c:tx>
            <c:v>Нижняя стенка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Лист1!$X$6:$AL$6</c15:sqref>
                  </c15:fullRef>
                </c:ext>
              </c:extLst>
              <c:f>(Лист1!$X$6,Лист1!$Z$6,Лист1!$AB$6,Лист1!$AD$6,Лист1!$AF$6,Лист1!$AH$6,Лист1!$AJ$6,Лист1!$AL$6)</c:f>
              <c:numCache>
                <c:formatCode>General</c:formatCode>
                <c:ptCount val="8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Лист1!$X$12:$AL$12</c15:sqref>
                  </c15:fullRef>
                </c:ext>
              </c:extLst>
              <c:f>(Лист1!$X$12,Лист1!$Z$12,Лист1!$AB$12,Лист1!$AD$12,Лист1!$AF$12,Лист1!$AH$12,Лист1!$AJ$12,Лист1!$AL$12)</c:f>
              <c:numCache>
                <c:formatCode>General</c:formatCode>
                <c:ptCount val="8"/>
                <c:pt idx="0">
                  <c:v>0</c:v>
                </c:pt>
                <c:pt idx="1">
                  <c:v>-9.1033936242456551E-2</c:v>
                </c:pt>
                <c:pt idx="2">
                  <c:v>-0.59334650701697678</c:v>
                </c:pt>
                <c:pt idx="3">
                  <c:v>0.70929042468196712</c:v>
                </c:pt>
                <c:pt idx="4">
                  <c:v>0.88938104120315986</c:v>
                </c:pt>
                <c:pt idx="5">
                  <c:v>0.89241445191873936</c:v>
                </c:pt>
                <c:pt idx="6">
                  <c:v>0.80891511147696293</c:v>
                </c:pt>
                <c:pt idx="7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640-41F7-8312-FA2109C7827D}"/>
            </c:ext>
          </c:extLst>
        </c:ser>
        <c:ser>
          <c:idx val="1"/>
          <c:order val="1"/>
          <c:tx>
            <c:v>Верхняя стенка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Лист1!$X$6:$AL$6</c15:sqref>
                  </c15:fullRef>
                </c:ext>
              </c:extLst>
              <c:f>(Лист1!$X$6,Лист1!$Z$6,Лист1!$AB$6,Лист1!$AD$6,Лист1!$AF$6,Лист1!$AH$6,Лист1!$AJ$6,Лист1!$AL$6)</c:f>
              <c:numCache>
                <c:formatCode>General</c:formatCode>
                <c:ptCount val="8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Лист1!$X$22:$AL$22</c15:sqref>
                  </c15:fullRef>
                </c:ext>
              </c:extLst>
              <c:f>(Лист1!$X$22,Лист1!$Z$22,Лист1!$AB$22,Лист1!$AD$22,Лист1!$AF$22,Лист1!$AH$22,Лист1!$AJ$22,Лист1!$AL$22)</c:f>
              <c:numCache>
                <c:formatCode>General</c:formatCode>
                <c:ptCount val="8"/>
                <c:pt idx="0">
                  <c:v>0</c:v>
                </c:pt>
                <c:pt idx="1">
                  <c:v>6.3816185212344861E-2</c:v>
                </c:pt>
                <c:pt idx="2">
                  <c:v>0.18568973501067376</c:v>
                </c:pt>
                <c:pt idx="3">
                  <c:v>0.36820607227680741</c:v>
                </c:pt>
                <c:pt idx="4">
                  <c:v>0.52678678673983081</c:v>
                </c:pt>
                <c:pt idx="5">
                  <c:v>0.6330238050606567</c:v>
                </c:pt>
                <c:pt idx="6">
                  <c:v>0.70112116934760704</c:v>
                </c:pt>
                <c:pt idx="7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640-41F7-8312-FA2109C78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8237656"/>
        <c:axId val="508233720"/>
      </c:lineChart>
      <c:catAx>
        <c:axId val="508237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х, </a:t>
                </a:r>
                <a:r>
                  <a:rPr lang="en-US"/>
                  <a:t>[</a:t>
                </a:r>
                <a:r>
                  <a:rPr lang="ru-RU"/>
                  <a:t>м</a:t>
                </a:r>
                <a:r>
                  <a:rPr lang="en-US"/>
                  <a:t>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92265794163203696"/>
              <c:y val="0.802313033655603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8233720"/>
        <c:crosses val="autoZero"/>
        <c:auto val="0"/>
        <c:lblAlgn val="ctr"/>
        <c:lblOffset val="100"/>
        <c:noMultiLvlLbl val="0"/>
      </c:catAx>
      <c:valAx>
        <c:axId val="508233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Ср</a:t>
                </a:r>
              </a:p>
            </c:rich>
          </c:tx>
          <c:layout>
            <c:manualLayout>
              <c:xMode val="edge"/>
              <c:yMode val="edge"/>
              <c:x val="8.5779900024775785E-2"/>
              <c:y val="2.501079770092030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0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8237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rnd" cmpd="thickThin" algn="ctr">
      <a:solidFill>
        <a:schemeClr val="tx1">
          <a:lumMod val="15000"/>
          <a:lumOff val="85000"/>
        </a:schemeClr>
      </a:solidFill>
      <a:miter lim="800000"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774781277340334"/>
          <c:y val="0.16666666666666666"/>
          <c:w val="0.8016966316710411"/>
          <c:h val="0.52185914260717414"/>
        </c:manualLayout>
      </c:layout>
      <c:lineChart>
        <c:grouping val="standard"/>
        <c:varyColors val="0"/>
        <c:ser>
          <c:idx val="0"/>
          <c:order val="0"/>
          <c:tx>
            <c:v>Нижняя стенка</c:v>
          </c:tx>
          <c:spPr>
            <a:ln w="28575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Лист1!$X$16:$AL$16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Лист1!$X$7:$AL$7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</c:v>
                </c:pt>
                <c:pt idx="6">
                  <c:v>0.60000000000000009</c:v>
                </c:pt>
                <c:pt idx="7">
                  <c:v>0.40000000000000008</c:v>
                </c:pt>
                <c:pt idx="8">
                  <c:v>0.20000000000000007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1C-4DF0-912F-57CAC1C7B16A}"/>
            </c:ext>
          </c:extLst>
        </c:ser>
        <c:ser>
          <c:idx val="1"/>
          <c:order val="1"/>
          <c:tx>
            <c:v>Верхняя стенка</c:v>
          </c:tx>
          <c:spPr>
            <a:ln w="28575" cap="rnd" cmpd="sng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Лист1!$X$16:$AL$16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Лист1!$X$17:$AL$17</c:f>
              <c:numCache>
                <c:formatCode>General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1C-4DF0-912F-57CAC1C7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601840"/>
        <c:axId val="510600528"/>
      </c:lineChart>
      <c:catAx>
        <c:axId val="510601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х,</a:t>
                </a:r>
                <a:r>
                  <a:rPr lang="ru-RU" baseline="0"/>
                  <a:t> </a:t>
                </a:r>
                <a:r>
                  <a:rPr lang="en-US" baseline="0"/>
                  <a:t>[</a:t>
                </a:r>
                <a:r>
                  <a:rPr lang="ru-RU" baseline="0"/>
                  <a:t>м</a:t>
                </a:r>
                <a:r>
                  <a:rPr lang="en-US" baseline="0"/>
                  <a:t>]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0600528"/>
        <c:crosses val="autoZero"/>
        <c:auto val="1"/>
        <c:lblAlgn val="ctr"/>
        <c:lblOffset val="100"/>
        <c:noMultiLvlLbl val="0"/>
      </c:catAx>
      <c:valAx>
        <c:axId val="51060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у,</a:t>
                </a:r>
                <a:r>
                  <a:rPr lang="ru-RU" baseline="0"/>
                  <a:t> </a:t>
                </a:r>
                <a:r>
                  <a:rPr lang="en-US" baseline="0"/>
                  <a:t>[</a:t>
                </a:r>
                <a:r>
                  <a:rPr lang="ru-RU" baseline="0"/>
                  <a:t>м</a:t>
                </a:r>
                <a:r>
                  <a:rPr lang="en-US" baseline="0"/>
                  <a:t>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9.7222222222222224E-2"/>
              <c:y val="2.6658646835812171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060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16932</xdr:colOff>
      <xdr:row>23</xdr:row>
      <xdr:rowOff>173567</xdr:rowOff>
    </xdr:from>
    <xdr:to>
      <xdr:col>29</xdr:col>
      <xdr:colOff>372532</xdr:colOff>
      <xdr:row>40</xdr:row>
      <xdr:rowOff>16933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16932</xdr:colOff>
      <xdr:row>24</xdr:row>
      <xdr:rowOff>12700</xdr:rowOff>
    </xdr:from>
    <xdr:to>
      <xdr:col>38</xdr:col>
      <xdr:colOff>592666</xdr:colOff>
      <xdr:row>39</xdr:row>
      <xdr:rowOff>152399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AM68"/>
  <sheetViews>
    <sheetView tabSelected="1" topLeftCell="Q16" zoomScale="90" zoomScaleNormal="90" workbookViewId="0">
      <selection activeCell="AG45" sqref="AG45"/>
    </sheetView>
  </sheetViews>
  <sheetFormatPr defaultRowHeight="14.4" x14ac:dyDescent="0.3"/>
  <cols>
    <col min="23" max="23" width="16" customWidth="1"/>
  </cols>
  <sheetData>
    <row r="2" spans="1:39" x14ac:dyDescent="0.3">
      <c r="A2" s="1" t="s">
        <v>0</v>
      </c>
      <c r="B2" s="1">
        <v>0.2</v>
      </c>
    </row>
    <row r="4" spans="1:39" x14ac:dyDescent="0.3">
      <c r="A4" s="1" t="s">
        <v>1</v>
      </c>
      <c r="B4" s="1">
        <v>10</v>
      </c>
      <c r="D4" s="18" t="s">
        <v>9</v>
      </c>
      <c r="E4" s="16"/>
      <c r="F4" s="2">
        <v>1</v>
      </c>
      <c r="G4" s="2">
        <v>2</v>
      </c>
      <c r="H4" s="2">
        <v>3</v>
      </c>
      <c r="I4" s="2">
        <v>4</v>
      </c>
      <c r="J4" s="2">
        <v>5</v>
      </c>
      <c r="K4" s="2">
        <v>6</v>
      </c>
      <c r="L4" s="2">
        <v>7</v>
      </c>
      <c r="M4" s="2">
        <v>8</v>
      </c>
      <c r="N4" s="2">
        <v>9</v>
      </c>
      <c r="O4" s="2">
        <v>10</v>
      </c>
      <c r="P4" s="2">
        <v>11</v>
      </c>
      <c r="Q4" s="2">
        <v>12</v>
      </c>
      <c r="R4" s="2">
        <v>13</v>
      </c>
      <c r="S4" s="2">
        <v>14</v>
      </c>
      <c r="T4" s="2">
        <v>15</v>
      </c>
      <c r="U4" s="1"/>
      <c r="W4" s="11" t="s">
        <v>17</v>
      </c>
      <c r="X4" s="19">
        <v>1</v>
      </c>
      <c r="Y4" s="19">
        <v>2</v>
      </c>
      <c r="Z4" s="19">
        <v>3</v>
      </c>
      <c r="AA4" s="19">
        <v>4</v>
      </c>
      <c r="AB4" s="19">
        <v>5</v>
      </c>
      <c r="AC4" s="19">
        <v>6</v>
      </c>
      <c r="AD4" s="19">
        <v>7</v>
      </c>
      <c r="AE4" s="19">
        <v>8</v>
      </c>
      <c r="AF4" s="19">
        <v>9</v>
      </c>
      <c r="AG4" s="19">
        <v>10</v>
      </c>
      <c r="AH4" s="19">
        <v>11</v>
      </c>
      <c r="AI4" s="19">
        <v>12</v>
      </c>
      <c r="AJ4" s="19">
        <v>13</v>
      </c>
      <c r="AK4" s="19">
        <v>14</v>
      </c>
      <c r="AL4" s="19">
        <v>15</v>
      </c>
    </row>
    <row r="5" spans="1:39" x14ac:dyDescent="0.3">
      <c r="A5" s="1" t="s">
        <v>2</v>
      </c>
      <c r="B5" s="1">
        <v>101325</v>
      </c>
      <c r="E5" s="2">
        <v>2</v>
      </c>
      <c r="F5" s="3">
        <f t="shared" ref="F5:F8" si="0">F6+$B$4*$B$2</f>
        <v>10</v>
      </c>
      <c r="G5" s="3">
        <f>F5</f>
        <v>10</v>
      </c>
      <c r="H5" s="3">
        <f t="shared" ref="H5:T5" si="1">G5</f>
        <v>10</v>
      </c>
      <c r="I5" s="3">
        <f t="shared" si="1"/>
        <v>10</v>
      </c>
      <c r="J5" s="3">
        <f t="shared" si="1"/>
        <v>10</v>
      </c>
      <c r="K5" s="3">
        <f t="shared" si="1"/>
        <v>10</v>
      </c>
      <c r="L5" s="3">
        <f t="shared" si="1"/>
        <v>10</v>
      </c>
      <c r="M5" s="3">
        <f t="shared" si="1"/>
        <v>10</v>
      </c>
      <c r="N5" s="3">
        <f t="shared" si="1"/>
        <v>10</v>
      </c>
      <c r="O5" s="3">
        <f t="shared" si="1"/>
        <v>10</v>
      </c>
      <c r="P5" s="3">
        <f t="shared" si="1"/>
        <v>10</v>
      </c>
      <c r="Q5" s="3">
        <f t="shared" si="1"/>
        <v>10</v>
      </c>
      <c r="R5" s="3">
        <f t="shared" si="1"/>
        <v>10</v>
      </c>
      <c r="S5" s="3">
        <f t="shared" si="1"/>
        <v>10</v>
      </c>
      <c r="T5" s="3">
        <f t="shared" si="1"/>
        <v>10</v>
      </c>
      <c r="U5" s="2">
        <v>11</v>
      </c>
      <c r="W5" s="13" t="s">
        <v>9</v>
      </c>
      <c r="X5" s="13">
        <f>F10</f>
        <v>0</v>
      </c>
      <c r="Y5" s="13">
        <f>G10</f>
        <v>0</v>
      </c>
      <c r="Z5" s="13">
        <f>H10</f>
        <v>0</v>
      </c>
      <c r="AA5" s="13">
        <f>I10</f>
        <v>0</v>
      </c>
      <c r="AB5" s="13">
        <f>J10</f>
        <v>0</v>
      </c>
      <c r="AC5" s="13">
        <f>K11</f>
        <v>0</v>
      </c>
      <c r="AD5" s="13">
        <f>L12</f>
        <v>0</v>
      </c>
      <c r="AE5" s="13">
        <f>M13</f>
        <v>0</v>
      </c>
      <c r="AF5" s="13">
        <f>N14</f>
        <v>0</v>
      </c>
      <c r="AG5" s="13">
        <f t="shared" ref="AG5:AL5" si="2">O15</f>
        <v>0</v>
      </c>
      <c r="AH5" s="13">
        <f t="shared" si="2"/>
        <v>0</v>
      </c>
      <c r="AI5" s="13">
        <f t="shared" si="2"/>
        <v>0</v>
      </c>
      <c r="AJ5" s="13">
        <f t="shared" si="2"/>
        <v>0</v>
      </c>
      <c r="AK5" s="13">
        <f t="shared" si="2"/>
        <v>0</v>
      </c>
      <c r="AL5" s="13">
        <f t="shared" si="2"/>
        <v>0</v>
      </c>
    </row>
    <row r="6" spans="1:39" x14ac:dyDescent="0.3">
      <c r="A6" s="1" t="s">
        <v>3</v>
      </c>
      <c r="B6" s="1">
        <f>(E5-E10)*B4/(E5-E15)</f>
        <v>4.9999999999999991</v>
      </c>
      <c r="E6" s="2">
        <f>E5-$B$2</f>
        <v>1.8</v>
      </c>
      <c r="F6" s="3">
        <f t="shared" si="0"/>
        <v>8</v>
      </c>
      <c r="G6" s="4">
        <f>0.25*(F19+G18+G20+H19)</f>
        <v>8.0283446460469143</v>
      </c>
      <c r="H6" s="4">
        <f t="shared" ref="H6:S6" si="3">0.25*(G19+H18+H20+I19)</f>
        <v>8.0648681545820811</v>
      </c>
      <c r="I6" s="4">
        <f t="shared" si="3"/>
        <v>8.1180730019293481</v>
      </c>
      <c r="J6" s="4">
        <f t="shared" si="3"/>
        <v>8.195217170971091</v>
      </c>
      <c r="K6" s="4">
        <f t="shared" si="3"/>
        <v>8.2968869396801335</v>
      </c>
      <c r="L6" s="4">
        <f t="shared" si="3"/>
        <v>8.410290683523165</v>
      </c>
      <c r="M6" s="4">
        <f t="shared" si="3"/>
        <v>8.5221490667830011</v>
      </c>
      <c r="N6" s="4">
        <f t="shared" si="3"/>
        <v>8.6241901101384677</v>
      </c>
      <c r="O6" s="4">
        <f t="shared" si="3"/>
        <v>8.7130063657521486</v>
      </c>
      <c r="P6" s="4">
        <f t="shared" si="3"/>
        <v>8.7884287970751291</v>
      </c>
      <c r="Q6" s="4">
        <f t="shared" si="3"/>
        <v>8.8521084788847517</v>
      </c>
      <c r="R6" s="4">
        <f t="shared" si="3"/>
        <v>8.9066037668761062</v>
      </c>
      <c r="S6" s="4">
        <f t="shared" si="3"/>
        <v>8.954868791922916</v>
      </c>
      <c r="T6" s="3">
        <f t="shared" ref="T6:T13" si="4">T7+$B$6*$B$2</f>
        <v>8.9999999999999982</v>
      </c>
      <c r="U6" s="2">
        <v>10</v>
      </c>
      <c r="W6" s="13" t="s">
        <v>13</v>
      </c>
      <c r="X6" s="12">
        <v>0</v>
      </c>
      <c r="Y6" s="12">
        <v>0.2</v>
      </c>
      <c r="Z6" s="12">
        <v>0.4</v>
      </c>
      <c r="AA6" s="12">
        <v>0.6</v>
      </c>
      <c r="AB6" s="12">
        <v>0.8</v>
      </c>
      <c r="AC6" s="12">
        <v>1</v>
      </c>
      <c r="AD6" s="12">
        <v>1.2</v>
      </c>
      <c r="AE6" s="12">
        <v>1.4</v>
      </c>
      <c r="AF6" s="12">
        <v>1.6</v>
      </c>
      <c r="AG6" s="12">
        <v>1.8</v>
      </c>
      <c r="AH6" s="12">
        <v>2</v>
      </c>
      <c r="AI6" s="12">
        <v>2.2000000000000002</v>
      </c>
      <c r="AJ6" s="12">
        <v>2.4</v>
      </c>
      <c r="AK6" s="12">
        <v>2.6</v>
      </c>
      <c r="AL6" s="12">
        <v>2.8</v>
      </c>
    </row>
    <row r="7" spans="1:39" x14ac:dyDescent="0.3">
      <c r="E7" s="2">
        <f t="shared" ref="E7:E14" si="5">E6-$B$2</f>
        <v>1.6</v>
      </c>
      <c r="F7" s="3">
        <f t="shared" si="0"/>
        <v>6</v>
      </c>
      <c r="G7" s="4">
        <f t="shared" ref="G7:S10" si="6">0.25*(F20+G19+G21+H20)</f>
        <v>6.0485104312930211</v>
      </c>
      <c r="H7" s="4">
        <f t="shared" si="6"/>
        <v>6.1130549738429565</v>
      </c>
      <c r="I7" s="4">
        <f t="shared" si="6"/>
        <v>6.2122066880820705</v>
      </c>
      <c r="J7" s="4">
        <f t="shared" si="6"/>
        <v>6.3659087508255325</v>
      </c>
      <c r="K7" s="4">
        <f t="shared" si="6"/>
        <v>6.5820399164231969</v>
      </c>
      <c r="L7" s="4">
        <f t="shared" si="6"/>
        <v>6.8221267429347723</v>
      </c>
      <c r="M7" s="4">
        <f t="shared" si="6"/>
        <v>7.0541154923808538</v>
      </c>
      <c r="N7" s="4">
        <f t="shared" si="6"/>
        <v>7.2616050285009557</v>
      </c>
      <c r="O7" s="4">
        <f t="shared" si="6"/>
        <v>7.4394065775463147</v>
      </c>
      <c r="P7" s="4">
        <f t="shared" si="6"/>
        <v>7.5886003636844892</v>
      </c>
      <c r="Q7" s="4">
        <f t="shared" si="6"/>
        <v>7.713401369148408</v>
      </c>
      <c r="R7" s="4">
        <f t="shared" si="6"/>
        <v>7.8194378091362164</v>
      </c>
      <c r="S7" s="4">
        <f t="shared" si="6"/>
        <v>7.9128714075643565</v>
      </c>
      <c r="T7" s="3">
        <f t="shared" si="4"/>
        <v>7.9999999999999991</v>
      </c>
      <c r="U7" s="2">
        <v>9</v>
      </c>
      <c r="W7" s="13" t="s">
        <v>14</v>
      </c>
      <c r="X7" s="13">
        <v>1</v>
      </c>
      <c r="Y7" s="13">
        <v>1</v>
      </c>
      <c r="Z7" s="13">
        <v>1</v>
      </c>
      <c r="AA7" s="13">
        <v>1</v>
      </c>
      <c r="AB7" s="13">
        <v>1</v>
      </c>
      <c r="AC7" s="13">
        <f>AB7-$B$2</f>
        <v>0.8</v>
      </c>
      <c r="AD7" s="13">
        <f t="shared" ref="AD7:AF7" si="7">AC7-$B$2</f>
        <v>0.60000000000000009</v>
      </c>
      <c r="AE7" s="13">
        <f t="shared" si="7"/>
        <v>0.40000000000000008</v>
      </c>
      <c r="AF7" s="13">
        <f t="shared" si="7"/>
        <v>0.20000000000000007</v>
      </c>
      <c r="AG7" s="13">
        <v>0</v>
      </c>
      <c r="AH7" s="13">
        <v>0</v>
      </c>
      <c r="AI7" s="13">
        <v>0</v>
      </c>
      <c r="AJ7" s="13">
        <v>0</v>
      </c>
      <c r="AK7" s="13">
        <v>0</v>
      </c>
      <c r="AL7" s="13">
        <v>0</v>
      </c>
    </row>
    <row r="8" spans="1:39" x14ac:dyDescent="0.3">
      <c r="E8" s="2">
        <f t="shared" si="5"/>
        <v>1.4000000000000001</v>
      </c>
      <c r="F8" s="3">
        <f t="shared" si="0"/>
        <v>4</v>
      </c>
      <c r="G8" s="4">
        <f t="shared" si="6"/>
        <v>4.0526421079892039</v>
      </c>
      <c r="H8" s="4">
        <f t="shared" si="6"/>
        <v>4.1266346273896461</v>
      </c>
      <c r="I8" s="4">
        <f t="shared" si="6"/>
        <v>4.2517900354247864</v>
      </c>
      <c r="J8" s="4">
        <f t="shared" si="6"/>
        <v>4.4741712429747862</v>
      </c>
      <c r="K8" s="4">
        <f t="shared" si="6"/>
        <v>4.8432372531949373</v>
      </c>
      <c r="L8" s="4">
        <f t="shared" si="6"/>
        <v>5.2420609078450147</v>
      </c>
      <c r="M8" s="4">
        <f t="shared" si="6"/>
        <v>5.6105811649741817</v>
      </c>
      <c r="N8" s="4">
        <f t="shared" si="6"/>
        <v>5.9287079729564924</v>
      </c>
      <c r="O8" s="4">
        <f t="shared" si="6"/>
        <v>6.1944145916357245</v>
      </c>
      <c r="P8" s="4">
        <f t="shared" si="6"/>
        <v>6.4131647495414636</v>
      </c>
      <c r="Q8" s="4">
        <f t="shared" si="6"/>
        <v>6.5934588569269286</v>
      </c>
      <c r="R8" s="4">
        <f t="shared" si="6"/>
        <v>6.7448747170386065</v>
      </c>
      <c r="S8" s="4">
        <f t="shared" si="6"/>
        <v>6.8771790415467251</v>
      </c>
      <c r="T8" s="3">
        <f t="shared" si="4"/>
        <v>6.9999999999999991</v>
      </c>
      <c r="U8" s="2">
        <v>8</v>
      </c>
      <c r="W8" s="13" t="s">
        <v>10</v>
      </c>
      <c r="X8" s="13">
        <f>F36</f>
        <v>10</v>
      </c>
      <c r="Y8" s="13">
        <f>G36</f>
        <v>10.177116880712274</v>
      </c>
      <c r="Z8" s="13">
        <f>H36</f>
        <v>10.445256991775915</v>
      </c>
      <c r="AA8" s="13">
        <f>I36</f>
        <v>10.970737969618755</v>
      </c>
      <c r="AB8" s="13">
        <f>J36</f>
        <v>12.178744744538315</v>
      </c>
      <c r="AC8" s="13">
        <f>K37</f>
        <v>6.6371160023630082</v>
      </c>
      <c r="AD8" s="13">
        <f>L38</f>
        <v>5.008455772425437</v>
      </c>
      <c r="AE8" s="13">
        <f>M39</f>
        <v>3.9931583234773638</v>
      </c>
      <c r="AF8" s="13">
        <f>N40</f>
        <v>3.1416986199586936</v>
      </c>
      <c r="AG8" s="13">
        <f>O41</f>
        <v>2.183232168147438</v>
      </c>
      <c r="AH8" s="13">
        <f t="shared" ref="AH8:AL8" si="8">P41</f>
        <v>3.2800235987145285</v>
      </c>
      <c r="AI8" s="13">
        <f t="shared" si="8"/>
        <v>3.930764262067715</v>
      </c>
      <c r="AJ8" s="13">
        <f t="shared" si="8"/>
        <v>4.3713257545410329</v>
      </c>
      <c r="AK8" s="13">
        <f t="shared" si="8"/>
        <v>4.7077637003165798</v>
      </c>
      <c r="AL8" s="13">
        <f t="shared" si="8"/>
        <v>4.9999999999999991</v>
      </c>
      <c r="AM8" s="10"/>
    </row>
    <row r="9" spans="1:39" x14ac:dyDescent="0.3">
      <c r="E9" s="2">
        <f t="shared" si="5"/>
        <v>1.2000000000000002</v>
      </c>
      <c r="F9" s="3">
        <f>F10+$B$4*$B$2</f>
        <v>2</v>
      </c>
      <c r="G9" s="4">
        <f t="shared" si="6"/>
        <v>2.0354233761424552</v>
      </c>
      <c r="H9" s="4">
        <f t="shared" si="6"/>
        <v>2.0890513983551831</v>
      </c>
      <c r="I9" s="4">
        <f t="shared" si="6"/>
        <v>2.1941475939237511</v>
      </c>
      <c r="J9" s="4">
        <f t="shared" si="6"/>
        <v>2.4357489489076634</v>
      </c>
      <c r="K9" s="4">
        <f t="shared" si="6"/>
        <v>3.0746769712286453</v>
      </c>
      <c r="L9" s="4">
        <f t="shared" si="6"/>
        <v>3.6922985047919239</v>
      </c>
      <c r="M9" s="4">
        <f t="shared" si="6"/>
        <v>4.2174403313336946</v>
      </c>
      <c r="N9" s="4">
        <f t="shared" si="6"/>
        <v>4.648231156486994</v>
      </c>
      <c r="O9" s="4">
        <f t="shared" si="6"/>
        <v>4.9963791203832884</v>
      </c>
      <c r="P9" s="4">
        <f t="shared" si="6"/>
        <v>5.2761852361484642</v>
      </c>
      <c r="Q9" s="4">
        <f t="shared" si="6"/>
        <v>5.5023946363999432</v>
      </c>
      <c r="R9" s="4">
        <f t="shared" si="6"/>
        <v>5.6894231921717893</v>
      </c>
      <c r="S9" s="4">
        <f t="shared" si="6"/>
        <v>5.8509700587904572</v>
      </c>
      <c r="T9" s="3">
        <f t="shared" si="4"/>
        <v>5.9999999999999991</v>
      </c>
      <c r="U9" s="2">
        <v>7</v>
      </c>
      <c r="W9" s="13" t="s">
        <v>11</v>
      </c>
      <c r="X9" s="13">
        <f>F49</f>
        <v>0</v>
      </c>
      <c r="Y9" s="13">
        <f>G49</f>
        <v>0</v>
      </c>
      <c r="Z9" s="13">
        <f t="shared" ref="Z9:AA9" si="9">H49</f>
        <v>0</v>
      </c>
      <c r="AA9" s="13">
        <f t="shared" si="9"/>
        <v>0</v>
      </c>
      <c r="AB9" s="13">
        <f>J49</f>
        <v>-3.3185579924238815</v>
      </c>
      <c r="AC9" s="13">
        <f>K50</f>
        <v>-2.5042278760589274</v>
      </c>
      <c r="AD9" s="13">
        <f>L51</f>
        <v>-1.9965791513131821</v>
      </c>
      <c r="AE9" s="13">
        <f>M52</f>
        <v>-1.5708493007817459</v>
      </c>
      <c r="AF9" s="13">
        <f>N53</f>
        <v>-1.0916160776791666</v>
      </c>
      <c r="AG9" s="13">
        <f>O54</f>
        <v>0</v>
      </c>
      <c r="AH9" s="13">
        <f t="shared" ref="AH9:AL9" si="10">P54</f>
        <v>0</v>
      </c>
      <c r="AI9" s="13">
        <f t="shared" si="10"/>
        <v>0</v>
      </c>
      <c r="AJ9" s="13">
        <f t="shared" si="10"/>
        <v>0</v>
      </c>
      <c r="AK9" s="13">
        <f t="shared" si="10"/>
        <v>0</v>
      </c>
      <c r="AL9" s="13">
        <f t="shared" si="10"/>
        <v>0</v>
      </c>
    </row>
    <row r="10" spans="1:39" x14ac:dyDescent="0.3">
      <c r="A10" s="1" t="s">
        <v>4</v>
      </c>
      <c r="B10" s="1">
        <v>300</v>
      </c>
      <c r="E10" s="2">
        <f t="shared" si="5"/>
        <v>1.0000000000000002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4">
        <f t="shared" si="6"/>
        <v>1.3274232004726016</v>
      </c>
      <c r="L10" s="4">
        <f t="shared" ref="L10:S10" si="11">0.25*(K23+L22+L24+M23)</f>
        <v>2.2350158442893413</v>
      </c>
      <c r="M10" s="4">
        <f t="shared" si="11"/>
        <v>2.9186505450084246</v>
      </c>
      <c r="N10" s="4">
        <f t="shared" si="11"/>
        <v>3.450397257375081</v>
      </c>
      <c r="O10" s="4">
        <f t="shared" si="11"/>
        <v>3.86668555578713</v>
      </c>
      <c r="P10" s="4">
        <f t="shared" si="11"/>
        <v>4.1928024967944761</v>
      </c>
      <c r="Q10" s="4">
        <f t="shared" si="11"/>
        <v>4.4505113096112385</v>
      </c>
      <c r="R10" s="4">
        <f t="shared" si="11"/>
        <v>4.6594533937847249</v>
      </c>
      <c r="S10" s="4">
        <f t="shared" si="11"/>
        <v>4.8372780206660835</v>
      </c>
      <c r="T10" s="3">
        <f t="shared" si="4"/>
        <v>4.9999999999999991</v>
      </c>
      <c r="U10" s="2">
        <v>6</v>
      </c>
      <c r="W10" s="13" t="s">
        <v>12</v>
      </c>
      <c r="X10" s="13">
        <f>F62</f>
        <v>10</v>
      </c>
      <c r="Y10" s="13">
        <f>G62</f>
        <v>10.177116880712274</v>
      </c>
      <c r="Z10" s="13">
        <f>H62</f>
        <v>10.445256991775915</v>
      </c>
      <c r="AA10" s="13">
        <f>I62</f>
        <v>10.970737969618755</v>
      </c>
      <c r="AB10" s="13">
        <f>J62</f>
        <v>12.622783001450198</v>
      </c>
      <c r="AC10" s="13">
        <f>K63</f>
        <v>7.0938329613865116</v>
      </c>
      <c r="AD10" s="13">
        <f>L64</f>
        <v>5.3917490234431487</v>
      </c>
      <c r="AE10" s="13">
        <f>M65</f>
        <v>4.2910232954533178</v>
      </c>
      <c r="AF10" s="13">
        <f>N66</f>
        <v>3.3259428557475261</v>
      </c>
      <c r="AG10" s="13">
        <f t="shared" ref="AG10:AL10" si="12">O67</f>
        <v>2.183232168147438</v>
      </c>
      <c r="AH10" s="13">
        <f t="shared" si="12"/>
        <v>3.2800235987145285</v>
      </c>
      <c r="AI10" s="13">
        <f t="shared" si="12"/>
        <v>3.930764262067715</v>
      </c>
      <c r="AJ10" s="13">
        <f t="shared" si="12"/>
        <v>4.3713257545410329</v>
      </c>
      <c r="AK10" s="13">
        <f t="shared" si="12"/>
        <v>4.7077637003165798</v>
      </c>
      <c r="AL10" s="13">
        <f t="shared" si="12"/>
        <v>4.9999999999999991</v>
      </c>
    </row>
    <row r="11" spans="1:39" x14ac:dyDescent="0.3">
      <c r="E11" s="2">
        <f t="shared" si="5"/>
        <v>0.80000000000000027</v>
      </c>
      <c r="F11" s="8"/>
      <c r="G11" s="8"/>
      <c r="H11" s="8"/>
      <c r="I11" s="8"/>
      <c r="J11" s="8"/>
      <c r="K11" s="3">
        <v>0</v>
      </c>
      <c r="L11" s="4">
        <f t="shared" ref="L11:S11" si="13">0.25*(K24+L23+L25+M24)</f>
        <v>1.0016911544850875</v>
      </c>
      <c r="M11" s="4">
        <f t="shared" si="13"/>
        <v>1.7717487894511406</v>
      </c>
      <c r="N11" s="4">
        <f t="shared" si="13"/>
        <v>2.3680218240477671</v>
      </c>
      <c r="O11" s="4">
        <f t="shared" si="13"/>
        <v>2.8271634077599979</v>
      </c>
      <c r="P11" s="4">
        <f t="shared" si="13"/>
        <v>3.1778279425771938</v>
      </c>
      <c r="Q11" s="4">
        <f t="shared" si="13"/>
        <v>3.4473947628194557</v>
      </c>
      <c r="R11" s="4">
        <f t="shared" si="13"/>
        <v>3.6606010896792323</v>
      </c>
      <c r="S11" s="4">
        <f t="shared" si="13"/>
        <v>3.8386886503365778</v>
      </c>
      <c r="T11" s="3">
        <f t="shared" si="4"/>
        <v>3.9999999999999996</v>
      </c>
      <c r="U11" s="2">
        <v>5</v>
      </c>
      <c r="W11" s="13" t="s">
        <v>15</v>
      </c>
      <c r="X11" s="13">
        <f>B5</f>
        <v>101325</v>
      </c>
      <c r="Y11" s="13">
        <f>(X11+(X10^2)/2)-(Y10^2)/2</f>
        <v>101323.21314599816</v>
      </c>
      <c r="Z11" s="13">
        <f t="shared" ref="Z11:AL11" si="14">(Y11+(Y10^2)/2)-(Z10^2)/2</f>
        <v>101320.44830318788</v>
      </c>
      <c r="AA11" s="13">
        <f t="shared" si="14"/>
        <v>101314.82145420098</v>
      </c>
      <c r="AB11" s="13">
        <f t="shared" si="14"/>
        <v>101295.33267464915</v>
      </c>
      <c r="AC11" s="13">
        <f t="shared" si="14"/>
        <v>101349.83876695797</v>
      </c>
      <c r="AD11" s="13">
        <f t="shared" si="14"/>
        <v>101360.4645212341</v>
      </c>
      <c r="AE11" s="13">
        <f t="shared" si="14"/>
        <v>101365.79355953894</v>
      </c>
      <c r="AF11" s="13">
        <f t="shared" si="14"/>
        <v>101369.46905206016</v>
      </c>
      <c r="AG11" s="13">
        <f t="shared" si="14"/>
        <v>101372.61674864998</v>
      </c>
      <c r="AH11" s="13">
        <f t="shared" si="14"/>
        <v>101369.62072259594</v>
      </c>
      <c r="AI11" s="13">
        <f t="shared" si="14"/>
        <v>101367.27454615802</v>
      </c>
      <c r="AJ11" s="13">
        <f t="shared" si="14"/>
        <v>101365.44575557385</v>
      </c>
      <c r="AK11" s="13">
        <f t="shared" si="14"/>
        <v>101363.91848047099</v>
      </c>
      <c r="AL11" s="13">
        <f t="shared" si="14"/>
        <v>101362.5</v>
      </c>
    </row>
    <row r="12" spans="1:39" x14ac:dyDescent="0.3">
      <c r="A12" s="1" t="s">
        <v>5</v>
      </c>
      <c r="B12" s="1">
        <v>15</v>
      </c>
      <c r="E12" s="2">
        <f>E11-$B$2</f>
        <v>0.60000000000000031</v>
      </c>
      <c r="F12" s="8"/>
      <c r="G12" s="8"/>
      <c r="H12" s="8"/>
      <c r="I12" s="8"/>
      <c r="J12" s="8"/>
      <c r="K12" s="8"/>
      <c r="L12" s="3">
        <v>0</v>
      </c>
      <c r="M12" s="4">
        <f t="shared" ref="M12:S12" si="15">0.25*(L25+M24+M26+N25)</f>
        <v>0.79863166469547275</v>
      </c>
      <c r="N12" s="4">
        <f t="shared" si="15"/>
        <v>1.4227778855536832</v>
      </c>
      <c r="O12" s="4">
        <f t="shared" si="15"/>
        <v>1.8961183586333448</v>
      </c>
      <c r="P12" s="4">
        <f t="shared" si="15"/>
        <v>2.2439511554236682</v>
      </c>
      <c r="Q12" s="4">
        <f t="shared" si="15"/>
        <v>2.5006387548345415</v>
      </c>
      <c r="R12" s="4">
        <f t="shared" si="15"/>
        <v>2.6968675867450576</v>
      </c>
      <c r="S12" s="4">
        <f t="shared" si="15"/>
        <v>2.8568755091562479</v>
      </c>
      <c r="T12" s="3">
        <f t="shared" si="4"/>
        <v>2.9999999999999996</v>
      </c>
      <c r="U12" s="2">
        <v>4</v>
      </c>
      <c r="W12" s="13" t="s">
        <v>16</v>
      </c>
      <c r="X12" s="13">
        <f>(X11-$B$5)/(($B$4^2)/2)</f>
        <v>0</v>
      </c>
      <c r="Y12" s="13">
        <f t="shared" ref="Y12:AL12" si="16">(Y11-$B$5)/(($B$4^2)/2)</f>
        <v>-3.5737080036778932E-2</v>
      </c>
      <c r="Z12" s="13">
        <f t="shared" si="16"/>
        <v>-9.1033936242456551E-2</v>
      </c>
      <c r="AA12" s="13">
        <f t="shared" si="16"/>
        <v>-0.20357091598038096</v>
      </c>
      <c r="AB12" s="13">
        <f t="shared" si="16"/>
        <v>-0.59334650701697678</v>
      </c>
      <c r="AC12" s="13">
        <f t="shared" si="16"/>
        <v>0.49677533915935784</v>
      </c>
      <c r="AD12" s="13">
        <f t="shared" si="16"/>
        <v>0.70929042468196712</v>
      </c>
      <c r="AE12" s="13">
        <f t="shared" si="16"/>
        <v>0.81587119077885295</v>
      </c>
      <c r="AF12" s="13">
        <f t="shared" si="16"/>
        <v>0.88938104120315986</v>
      </c>
      <c r="AG12" s="13">
        <f t="shared" si="16"/>
        <v>0.9523349729995243</v>
      </c>
      <c r="AH12" s="13">
        <f t="shared" si="16"/>
        <v>0.89241445191873936</v>
      </c>
      <c r="AI12" s="13">
        <f t="shared" si="16"/>
        <v>0.84549092316039609</v>
      </c>
      <c r="AJ12" s="13">
        <f t="shared" si="16"/>
        <v>0.80891511147696293</v>
      </c>
      <c r="AK12" s="13">
        <f t="shared" si="16"/>
        <v>0.77836960941989675</v>
      </c>
      <c r="AL12" s="13">
        <f t="shared" si="16"/>
        <v>0.75</v>
      </c>
    </row>
    <row r="13" spans="1:39" x14ac:dyDescent="0.3">
      <c r="A13" s="1" t="s">
        <v>6</v>
      </c>
      <c r="B13" s="1">
        <v>11</v>
      </c>
      <c r="E13" s="2">
        <f t="shared" si="5"/>
        <v>0.4000000000000003</v>
      </c>
      <c r="F13" s="8"/>
      <c r="G13" s="8"/>
      <c r="H13" s="8"/>
      <c r="I13" s="8"/>
      <c r="J13" s="8"/>
      <c r="K13" s="8"/>
      <c r="L13" s="8"/>
      <c r="M13" s="3">
        <v>0</v>
      </c>
      <c r="N13" s="4">
        <f t="shared" ref="N13:S13" si="17">0.25*(M26+N25+N27+O26)</f>
        <v>0.62833972399173876</v>
      </c>
      <c r="O13" s="4">
        <f t="shared" si="17"/>
        <v>1.0905810247254937</v>
      </c>
      <c r="P13" s="4">
        <f t="shared" si="17"/>
        <v>1.4012196060616735</v>
      </c>
      <c r="Q13" s="4">
        <f t="shared" si="17"/>
        <v>1.6143415522488107</v>
      </c>
      <c r="R13" s="4">
        <f t="shared" si="17"/>
        <v>1.769355021179575</v>
      </c>
      <c r="S13" s="4">
        <f t="shared" si="17"/>
        <v>1.8919458149547121</v>
      </c>
      <c r="T13" s="3">
        <f t="shared" si="4"/>
        <v>1.9999999999999998</v>
      </c>
      <c r="U13" s="2">
        <v>3</v>
      </c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9" x14ac:dyDescent="0.3">
      <c r="A14" s="1" t="s">
        <v>7</v>
      </c>
      <c r="B14" s="1">
        <v>15</v>
      </c>
      <c r="E14" s="2">
        <f t="shared" si="5"/>
        <v>0.20000000000000029</v>
      </c>
      <c r="F14" s="8"/>
      <c r="G14" s="8"/>
      <c r="H14" s="8"/>
      <c r="I14" s="8"/>
      <c r="J14" s="8"/>
      <c r="K14" s="8"/>
      <c r="L14" s="8"/>
      <c r="M14" s="8"/>
      <c r="N14" s="3">
        <v>0</v>
      </c>
      <c r="O14" s="4">
        <f t="shared" ref="O14:S14" si="18">0.25*(N27+O26+O28+P27)</f>
        <v>0.43664643362948763</v>
      </c>
      <c r="P14" s="4">
        <f t="shared" si="18"/>
        <v>0.65600471974290575</v>
      </c>
      <c r="Q14" s="4">
        <f t="shared" si="18"/>
        <v>0.78615285241354305</v>
      </c>
      <c r="R14" s="4">
        <f t="shared" si="18"/>
        <v>0.87426515090820656</v>
      </c>
      <c r="S14" s="4">
        <f t="shared" si="18"/>
        <v>0.94155274006331602</v>
      </c>
      <c r="T14" s="3">
        <f>T15+$B$6*$B$2</f>
        <v>0.99999999999999989</v>
      </c>
      <c r="U14" s="2">
        <v>2</v>
      </c>
      <c r="W14" s="11" t="s">
        <v>18</v>
      </c>
      <c r="X14" s="19">
        <v>1</v>
      </c>
      <c r="Y14" s="19">
        <v>2</v>
      </c>
      <c r="Z14" s="19">
        <v>3</v>
      </c>
      <c r="AA14" s="19">
        <v>4</v>
      </c>
      <c r="AB14" s="19">
        <v>5</v>
      </c>
      <c r="AC14" s="19">
        <v>6</v>
      </c>
      <c r="AD14" s="19">
        <v>7</v>
      </c>
      <c r="AE14" s="19">
        <v>8</v>
      </c>
      <c r="AF14" s="19">
        <v>9</v>
      </c>
      <c r="AG14" s="19">
        <v>10</v>
      </c>
      <c r="AH14" s="19">
        <v>11</v>
      </c>
      <c r="AI14" s="19">
        <v>12</v>
      </c>
      <c r="AJ14" s="19">
        <v>13</v>
      </c>
      <c r="AK14" s="19">
        <v>14</v>
      </c>
      <c r="AL14" s="19">
        <v>15</v>
      </c>
    </row>
    <row r="15" spans="1:39" x14ac:dyDescent="0.3">
      <c r="A15" s="1" t="s">
        <v>8</v>
      </c>
      <c r="B15" s="1">
        <v>6</v>
      </c>
      <c r="E15" s="2">
        <v>0</v>
      </c>
      <c r="F15" s="8"/>
      <c r="G15" s="8"/>
      <c r="H15" s="8"/>
      <c r="I15" s="8"/>
      <c r="J15" s="8"/>
      <c r="K15" s="8"/>
      <c r="L15" s="8"/>
      <c r="M15" s="8"/>
      <c r="N15" s="8"/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2">
        <v>1</v>
      </c>
      <c r="W15" s="13" t="s">
        <v>9</v>
      </c>
      <c r="X15" s="13">
        <v>10</v>
      </c>
      <c r="Y15" s="13">
        <v>10</v>
      </c>
      <c r="Z15" s="13">
        <v>10</v>
      </c>
      <c r="AA15" s="13">
        <v>10</v>
      </c>
      <c r="AB15" s="13">
        <v>10</v>
      </c>
      <c r="AC15" s="13">
        <v>10</v>
      </c>
      <c r="AD15" s="13">
        <v>10</v>
      </c>
      <c r="AE15" s="13">
        <v>10</v>
      </c>
      <c r="AF15" s="13">
        <v>10</v>
      </c>
      <c r="AG15" s="13">
        <v>10</v>
      </c>
      <c r="AH15" s="13">
        <v>10</v>
      </c>
      <c r="AI15" s="13">
        <v>10</v>
      </c>
      <c r="AJ15" s="13">
        <v>10</v>
      </c>
      <c r="AK15" s="13">
        <v>10</v>
      </c>
      <c r="AL15" s="13">
        <v>10</v>
      </c>
    </row>
    <row r="16" spans="1:39" x14ac:dyDescent="0.3">
      <c r="A16" s="6" t="s">
        <v>9</v>
      </c>
      <c r="B16" s="1">
        <v>0</v>
      </c>
      <c r="E16" s="1"/>
      <c r="F16" s="2">
        <v>0</v>
      </c>
      <c r="G16" s="2">
        <v>0.2</v>
      </c>
      <c r="H16" s="2">
        <v>0.4</v>
      </c>
      <c r="I16" s="2">
        <v>0.6</v>
      </c>
      <c r="J16" s="2">
        <v>0.8</v>
      </c>
      <c r="K16" s="2">
        <v>1</v>
      </c>
      <c r="L16" s="2">
        <v>1.2</v>
      </c>
      <c r="M16" s="2">
        <v>1.4</v>
      </c>
      <c r="N16" s="2">
        <v>1.6</v>
      </c>
      <c r="O16" s="2">
        <v>1.8</v>
      </c>
      <c r="P16" s="2">
        <v>2</v>
      </c>
      <c r="Q16" s="2">
        <v>2.2000000000000002</v>
      </c>
      <c r="R16" s="2">
        <v>2.4</v>
      </c>
      <c r="S16" s="2">
        <v>2.6</v>
      </c>
      <c r="T16" s="2">
        <v>2.8</v>
      </c>
      <c r="U16" s="1"/>
      <c r="W16" s="13" t="s">
        <v>13</v>
      </c>
      <c r="X16" s="12">
        <v>0</v>
      </c>
      <c r="Y16" s="12">
        <v>0.2</v>
      </c>
      <c r="Z16" s="12">
        <v>0.4</v>
      </c>
      <c r="AA16" s="12">
        <v>0.6</v>
      </c>
      <c r="AB16" s="12">
        <v>0.8</v>
      </c>
      <c r="AC16" s="12">
        <v>1</v>
      </c>
      <c r="AD16" s="12">
        <v>1.2</v>
      </c>
      <c r="AE16" s="12">
        <v>1.4</v>
      </c>
      <c r="AF16" s="12">
        <v>1.6</v>
      </c>
      <c r="AG16" s="12">
        <v>1.8</v>
      </c>
      <c r="AH16" s="12">
        <v>2</v>
      </c>
      <c r="AI16" s="12">
        <v>2.2000000000000002</v>
      </c>
      <c r="AJ16" s="12">
        <v>2.4</v>
      </c>
      <c r="AK16" s="12">
        <v>2.6</v>
      </c>
      <c r="AL16" s="12">
        <v>2.8</v>
      </c>
    </row>
    <row r="17" spans="4:38" x14ac:dyDescent="0.3"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W17" s="13" t="s">
        <v>14</v>
      </c>
      <c r="X17" s="13">
        <v>2</v>
      </c>
      <c r="Y17" s="13">
        <v>2</v>
      </c>
      <c r="Z17" s="13">
        <v>2</v>
      </c>
      <c r="AA17" s="13">
        <v>2</v>
      </c>
      <c r="AB17" s="13">
        <v>2</v>
      </c>
      <c r="AC17" s="13">
        <v>2</v>
      </c>
      <c r="AD17" s="13">
        <v>2</v>
      </c>
      <c r="AE17" s="13">
        <v>2</v>
      </c>
      <c r="AF17" s="13">
        <v>2</v>
      </c>
      <c r="AG17" s="13">
        <v>2</v>
      </c>
      <c r="AH17" s="13">
        <v>2</v>
      </c>
      <c r="AI17" s="13">
        <v>2</v>
      </c>
      <c r="AJ17" s="13">
        <v>2</v>
      </c>
      <c r="AK17" s="13">
        <v>2</v>
      </c>
      <c r="AL17" s="13">
        <v>2</v>
      </c>
    </row>
    <row r="18" spans="4:38" x14ac:dyDescent="0.3">
      <c r="E18" s="2">
        <v>2</v>
      </c>
      <c r="F18" s="5">
        <v>10</v>
      </c>
      <c r="G18" s="5">
        <v>10</v>
      </c>
      <c r="H18" s="5">
        <v>10</v>
      </c>
      <c r="I18" s="5">
        <v>10</v>
      </c>
      <c r="J18" s="5">
        <v>10</v>
      </c>
      <c r="K18" s="5">
        <v>10</v>
      </c>
      <c r="L18" s="5">
        <v>10</v>
      </c>
      <c r="M18" s="5">
        <v>10</v>
      </c>
      <c r="N18" s="5">
        <v>10</v>
      </c>
      <c r="O18" s="5">
        <v>10</v>
      </c>
      <c r="P18" s="5">
        <v>10</v>
      </c>
      <c r="Q18" s="5">
        <v>10</v>
      </c>
      <c r="R18" s="5">
        <v>10</v>
      </c>
      <c r="S18" s="5">
        <v>10</v>
      </c>
      <c r="T18" s="5">
        <v>10</v>
      </c>
      <c r="W18" s="13" t="s">
        <v>10</v>
      </c>
      <c r="X18" s="13">
        <f>F31</f>
        <v>10</v>
      </c>
      <c r="Y18" s="13">
        <f>G31</f>
        <v>9.8582767697654283</v>
      </c>
      <c r="Z18" s="13">
        <f>H31</f>
        <v>9.6756592270895947</v>
      </c>
      <c r="AA18" s="13">
        <f>I31</f>
        <v>9.4096349903532595</v>
      </c>
      <c r="AB18" s="13">
        <f>J31</f>
        <v>9.0239141451445448</v>
      </c>
      <c r="AC18" s="13">
        <f>K31</f>
        <v>8.5155653015993327</v>
      </c>
      <c r="AD18" s="13">
        <f>L31</f>
        <v>7.948546582384175</v>
      </c>
      <c r="AE18" s="13">
        <f t="shared" ref="AE18:AL18" si="19">M31</f>
        <v>7.3892546660849945</v>
      </c>
      <c r="AF18" s="13">
        <f t="shared" si="19"/>
        <v>6.8790494493076615</v>
      </c>
      <c r="AG18" s="13">
        <f t="shared" si="19"/>
        <v>6.434968171239257</v>
      </c>
      <c r="AH18" s="13">
        <f t="shared" si="19"/>
        <v>6.0578560146243543</v>
      </c>
      <c r="AI18" s="13">
        <f t="shared" si="19"/>
        <v>5.7394576055762414</v>
      </c>
      <c r="AJ18" s="13">
        <f t="shared" si="19"/>
        <v>5.4669811656194689</v>
      </c>
      <c r="AK18" s="13">
        <f t="shared" si="19"/>
        <v>5.2256560403854202</v>
      </c>
      <c r="AL18" s="13">
        <f t="shared" si="19"/>
        <v>5.0000000000000089</v>
      </c>
    </row>
    <row r="19" spans="4:38" x14ac:dyDescent="0.3">
      <c r="E19" s="2">
        <f>E18-$B$2</f>
        <v>1.8</v>
      </c>
      <c r="F19" s="5">
        <v>8</v>
      </c>
      <c r="G19" s="5">
        <v>8.0283446456131458</v>
      </c>
      <c r="H19" s="5">
        <v>8.0648681536316431</v>
      </c>
      <c r="I19" s="5">
        <v>8.1180730004081312</v>
      </c>
      <c r="J19" s="5">
        <v>8.1952171686430759</v>
      </c>
      <c r="K19" s="5">
        <v>8.2968869365448441</v>
      </c>
      <c r="L19" s="5">
        <v>8.4102906793561321</v>
      </c>
      <c r="M19" s="5">
        <v>8.5221490619219509</v>
      </c>
      <c r="N19" s="5">
        <v>8.6241901045619365</v>
      </c>
      <c r="O19" s="5">
        <v>8.7130063601608452</v>
      </c>
      <c r="P19" s="5">
        <v>8.7884287916242094</v>
      </c>
      <c r="Q19" s="5">
        <v>8.8521084743706879</v>
      </c>
      <c r="R19" s="5">
        <v>8.9066037634893167</v>
      </c>
      <c r="S19" s="5">
        <v>8.9548687901880992</v>
      </c>
      <c r="T19" s="5">
        <v>8.9999999999999982</v>
      </c>
      <c r="W19" s="13" t="s">
        <v>11</v>
      </c>
      <c r="X19" s="13">
        <f>F44</f>
        <v>0</v>
      </c>
      <c r="Y19" s="13">
        <f t="shared" ref="Y19:AL19" si="20">G44</f>
        <v>0</v>
      </c>
      <c r="Z19" s="13">
        <f t="shared" si="20"/>
        <v>0</v>
      </c>
      <c r="AA19" s="13">
        <f t="shared" si="20"/>
        <v>0</v>
      </c>
      <c r="AB19" s="13">
        <f t="shared" si="20"/>
        <v>0</v>
      </c>
      <c r="AC19" s="13">
        <f t="shared" si="20"/>
        <v>0</v>
      </c>
      <c r="AD19" s="13">
        <f t="shared" si="20"/>
        <v>0</v>
      </c>
      <c r="AE19" s="13">
        <f t="shared" si="20"/>
        <v>0</v>
      </c>
      <c r="AF19" s="13">
        <f t="shared" si="20"/>
        <v>0</v>
      </c>
      <c r="AG19" s="13">
        <f t="shared" si="20"/>
        <v>0</v>
      </c>
      <c r="AH19" s="13">
        <f t="shared" si="20"/>
        <v>0</v>
      </c>
      <c r="AI19" s="13">
        <f t="shared" si="20"/>
        <v>0</v>
      </c>
      <c r="AJ19" s="13">
        <f t="shared" si="20"/>
        <v>0</v>
      </c>
      <c r="AK19" s="13">
        <f t="shared" si="20"/>
        <v>0</v>
      </c>
      <c r="AL19" s="13">
        <f t="shared" si="20"/>
        <v>0</v>
      </c>
    </row>
    <row r="20" spans="4:38" x14ac:dyDescent="0.3">
      <c r="E20" s="2">
        <f t="shared" ref="E20:E24" si="21">E19-$B$2</f>
        <v>1.6</v>
      </c>
      <c r="F20" s="5">
        <v>6</v>
      </c>
      <c r="G20" s="5">
        <v>6.0485104305560107</v>
      </c>
      <c r="H20" s="5">
        <v>6.1130549723070482</v>
      </c>
      <c r="I20" s="5">
        <v>6.2122066854426725</v>
      </c>
      <c r="J20" s="5">
        <v>6.3659087469313889</v>
      </c>
      <c r="K20" s="5">
        <v>6.5820399107213294</v>
      </c>
      <c r="L20" s="5">
        <v>6.8221267356258668</v>
      </c>
      <c r="M20" s="5">
        <v>7.054115483213935</v>
      </c>
      <c r="N20" s="5">
        <v>7.2616050184710748</v>
      </c>
      <c r="O20" s="5">
        <v>7.4394065668224494</v>
      </c>
      <c r="P20" s="5">
        <v>7.5886003537689817</v>
      </c>
      <c r="Q20" s="5">
        <v>7.7134013604254799</v>
      </c>
      <c r="R20" s="5">
        <v>7.8194378029456395</v>
      </c>
      <c r="S20" s="5">
        <v>7.9128714042023507</v>
      </c>
      <c r="T20" s="5">
        <v>7.9999999999999991</v>
      </c>
      <c r="W20" s="13" t="s">
        <v>12</v>
      </c>
      <c r="X20" s="13">
        <f>F57</f>
        <v>10</v>
      </c>
      <c r="Y20" s="13">
        <f t="shared" ref="Y20:AL20" si="22">G57</f>
        <v>9.8582767697654283</v>
      </c>
      <c r="Z20" s="13">
        <f t="shared" si="22"/>
        <v>9.6756592270895947</v>
      </c>
      <c r="AA20" s="13">
        <f t="shared" si="22"/>
        <v>9.4096349903532595</v>
      </c>
      <c r="AB20" s="13">
        <f t="shared" si="22"/>
        <v>9.0239141451445448</v>
      </c>
      <c r="AC20" s="13">
        <f t="shared" si="22"/>
        <v>8.5155653015993327</v>
      </c>
      <c r="AD20" s="13">
        <f t="shared" si="22"/>
        <v>7.948546582384175</v>
      </c>
      <c r="AE20" s="13">
        <f t="shared" si="22"/>
        <v>7.3892546660849945</v>
      </c>
      <c r="AF20" s="13">
        <f t="shared" si="22"/>
        <v>6.8790494493076615</v>
      </c>
      <c r="AG20" s="13">
        <f t="shared" si="22"/>
        <v>6.434968171239257</v>
      </c>
      <c r="AH20" s="13">
        <f t="shared" si="22"/>
        <v>6.0578560146243543</v>
      </c>
      <c r="AI20" s="13">
        <f t="shared" si="22"/>
        <v>5.7394576055762414</v>
      </c>
      <c r="AJ20" s="13">
        <f t="shared" si="22"/>
        <v>5.4669811656194689</v>
      </c>
      <c r="AK20" s="13">
        <f t="shared" si="22"/>
        <v>5.2256560403854202</v>
      </c>
      <c r="AL20" s="13">
        <f t="shared" si="22"/>
        <v>5.0000000000000089</v>
      </c>
    </row>
    <row r="21" spans="4:38" x14ac:dyDescent="0.3">
      <c r="E21" s="2">
        <f t="shared" si="21"/>
        <v>1.4000000000000001</v>
      </c>
      <c r="F21" s="5">
        <v>4</v>
      </c>
      <c r="G21" s="5">
        <v>4.0526421072518897</v>
      </c>
      <c r="H21" s="5">
        <v>4.126634625741497</v>
      </c>
      <c r="I21" s="5">
        <v>4.2517900326817157</v>
      </c>
      <c r="J21" s="5">
        <v>4.4741712384950532</v>
      </c>
      <c r="K21" s="5">
        <v>4.843237246590685</v>
      </c>
      <c r="L21" s="5">
        <v>5.2420608984476935</v>
      </c>
      <c r="M21" s="5">
        <v>5.6105811535045236</v>
      </c>
      <c r="N21" s="5">
        <v>5.9287079594055054</v>
      </c>
      <c r="O21" s="5">
        <v>6.1944145777843573</v>
      </c>
      <c r="P21" s="5">
        <v>6.413164735865819</v>
      </c>
      <c r="Q21" s="5">
        <v>6.5934588455083247</v>
      </c>
      <c r="R21" s="5">
        <v>6.7448747084277194</v>
      </c>
      <c r="S21" s="5">
        <v>6.8771790371236889</v>
      </c>
      <c r="T21" s="5">
        <v>6.9999999999999991</v>
      </c>
      <c r="W21" s="13" t="s">
        <v>15</v>
      </c>
      <c r="X21" s="13">
        <f>B5</f>
        <v>101325</v>
      </c>
      <c r="Y21" s="13">
        <f>(X21+(X20^2)/2)-(Y20^2)/2</f>
        <v>101326.40718956535</v>
      </c>
      <c r="Z21" s="13">
        <f t="shared" ref="Z21:AL21" si="23">(Y21+(Y20^2)/2)-(Z20^2)/2</f>
        <v>101328.19080926062</v>
      </c>
      <c r="AA21" s="13">
        <f t="shared" si="23"/>
        <v>101330.72938467417</v>
      </c>
      <c r="AB21" s="13">
        <f t="shared" si="23"/>
        <v>101334.28448675053</v>
      </c>
      <c r="AC21" s="13">
        <f t="shared" si="23"/>
        <v>101338.74257379709</v>
      </c>
      <c r="AD21" s="13">
        <f t="shared" si="23"/>
        <v>101343.41030361384</v>
      </c>
      <c r="AE21" s="13">
        <f t="shared" si="23"/>
        <v>101347.69945773987</v>
      </c>
      <c r="AF21" s="13">
        <f t="shared" si="23"/>
        <v>101351.33933933699</v>
      </c>
      <c r="AG21" s="13">
        <f t="shared" si="23"/>
        <v>101354.29559231758</v>
      </c>
      <c r="AH21" s="13">
        <f t="shared" si="23"/>
        <v>101356.65119025303</v>
      </c>
      <c r="AI21" s="13">
        <f t="shared" si="23"/>
        <v>101358.52931319689</v>
      </c>
      <c r="AJ21" s="13">
        <f t="shared" si="23"/>
        <v>101360.05605846738</v>
      </c>
      <c r="AK21" s="13">
        <f t="shared" si="23"/>
        <v>101361.34625947379</v>
      </c>
      <c r="AL21" s="13">
        <f t="shared" si="23"/>
        <v>101362.5</v>
      </c>
    </row>
    <row r="22" spans="4:38" x14ac:dyDescent="0.3">
      <c r="E22" s="2">
        <f t="shared" si="21"/>
        <v>1.2000000000000002</v>
      </c>
      <c r="F22" s="5">
        <v>2</v>
      </c>
      <c r="G22" s="5">
        <v>2.0354233756593088</v>
      </c>
      <c r="H22" s="5">
        <v>2.089051397317931</v>
      </c>
      <c r="I22" s="5">
        <v>2.1941475920199256</v>
      </c>
      <c r="J22" s="5">
        <v>2.4357489456953569</v>
      </c>
      <c r="K22" s="5">
        <v>3.0746769651156742</v>
      </c>
      <c r="L22" s="5">
        <v>3.6922984956589859</v>
      </c>
      <c r="M22" s="5">
        <v>4.2174403188295946</v>
      </c>
      <c r="N22" s="5">
        <v>4.6482311420660123</v>
      </c>
      <c r="O22" s="5">
        <v>4.9963791044491215</v>
      </c>
      <c r="P22" s="5">
        <v>5.2761852211041891</v>
      </c>
      <c r="Q22" s="5">
        <v>5.5023946229886942</v>
      </c>
      <c r="R22" s="5">
        <v>5.6894231825767738</v>
      </c>
      <c r="S22" s="5">
        <v>5.8509700535568303</v>
      </c>
      <c r="T22" s="5">
        <v>5.9999999999999991</v>
      </c>
      <c r="W22" s="13" t="s">
        <v>16</v>
      </c>
      <c r="X22" s="13">
        <f>(X21-$B$5)/(($B$4^2)/2)</f>
        <v>0</v>
      </c>
      <c r="Y22" s="13">
        <f t="shared" ref="Y22:AL22" si="24">(Y21-$B$5)/(($B$4^2)/2)</f>
        <v>2.8143791306938511E-2</v>
      </c>
      <c r="Z22" s="13">
        <f t="shared" si="24"/>
        <v>6.3816185212344861E-2</v>
      </c>
      <c r="AA22" s="13">
        <f t="shared" si="24"/>
        <v>0.1145876934833359</v>
      </c>
      <c r="AB22" s="13">
        <f t="shared" si="24"/>
        <v>0.18568973501067376</v>
      </c>
      <c r="AC22" s="13">
        <f t="shared" si="24"/>
        <v>0.27485147594183218</v>
      </c>
      <c r="AD22" s="13">
        <f t="shared" si="24"/>
        <v>0.36820607227680741</v>
      </c>
      <c r="AE22" s="13">
        <f t="shared" si="24"/>
        <v>0.45398915479745483</v>
      </c>
      <c r="AF22" s="13">
        <f t="shared" si="24"/>
        <v>0.52678678673983081</v>
      </c>
      <c r="AG22" s="13">
        <f t="shared" si="24"/>
        <v>0.58591184635151872</v>
      </c>
      <c r="AH22" s="13">
        <f t="shared" si="24"/>
        <v>0.6330238050606567</v>
      </c>
      <c r="AI22" s="13">
        <f t="shared" si="24"/>
        <v>0.67058626393787568</v>
      </c>
      <c r="AJ22" s="13">
        <f t="shared" si="24"/>
        <v>0.70112116934760704</v>
      </c>
      <c r="AK22" s="13">
        <f t="shared" si="24"/>
        <v>0.72692518947587814</v>
      </c>
      <c r="AL22" s="13">
        <f t="shared" si="24"/>
        <v>0.75</v>
      </c>
    </row>
    <row r="23" spans="4:38" x14ac:dyDescent="0.3">
      <c r="E23" s="2">
        <f t="shared" si="21"/>
        <v>1.0000000000000002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1.3274231969695527</v>
      </c>
      <c r="L23" s="5">
        <v>2.2350158367747324</v>
      </c>
      <c r="M23" s="5">
        <v>2.9186505341052564</v>
      </c>
      <c r="N23" s="5">
        <v>3.4503972432637537</v>
      </c>
      <c r="O23" s="5">
        <v>3.8666855405785947</v>
      </c>
      <c r="P23" s="5">
        <v>4.1928024812902205</v>
      </c>
      <c r="Q23" s="5">
        <v>4.4505112964104843</v>
      </c>
      <c r="R23" s="5">
        <v>4.6594533837139114</v>
      </c>
      <c r="S23" s="5">
        <v>4.8372780154613659</v>
      </c>
      <c r="T23" s="5">
        <v>4.9999999999999991</v>
      </c>
    </row>
    <row r="24" spans="4:38" x14ac:dyDescent="0.3">
      <c r="E24" s="2">
        <f t="shared" si="21"/>
        <v>0.80000000000000027</v>
      </c>
      <c r="F24" s="8"/>
      <c r="G24" s="8"/>
      <c r="H24" s="8"/>
      <c r="I24" s="8"/>
      <c r="J24" s="8"/>
      <c r="K24" s="5">
        <v>0</v>
      </c>
      <c r="L24" s="5">
        <v>1.001691150423571</v>
      </c>
      <c r="M24" s="5">
        <v>1.7717487811656176</v>
      </c>
      <c r="N24" s="5">
        <v>2.3680218127504622</v>
      </c>
      <c r="O24" s="5">
        <v>2.8271633941454244</v>
      </c>
      <c r="P24" s="5">
        <v>3.1778279290846356</v>
      </c>
      <c r="Q24" s="5">
        <v>3.4473947504521298</v>
      </c>
      <c r="R24" s="5">
        <v>3.660601080690276</v>
      </c>
      <c r="S24" s="5">
        <v>3.8386886453935944</v>
      </c>
      <c r="T24" s="5">
        <v>3.9999999999999996</v>
      </c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</row>
    <row r="25" spans="4:38" x14ac:dyDescent="0.3">
      <c r="E25" s="2">
        <f>E24-$B$2</f>
        <v>0.60000000000000031</v>
      </c>
      <c r="F25" s="8"/>
      <c r="G25" s="8"/>
      <c r="H25" s="8"/>
      <c r="I25" s="8"/>
      <c r="J25" s="8"/>
      <c r="K25" s="8"/>
      <c r="L25" s="5">
        <v>0</v>
      </c>
      <c r="M25" s="5">
        <v>0.7986316605252729</v>
      </c>
      <c r="N25" s="5">
        <v>1.4227778776162732</v>
      </c>
      <c r="O25" s="5">
        <v>1.8961183486262991</v>
      </c>
      <c r="P25" s="5">
        <v>2.243951144421001</v>
      </c>
      <c r="Q25" s="5">
        <v>2.5006387450924272</v>
      </c>
      <c r="R25" s="5">
        <v>2.6968675791572929</v>
      </c>
      <c r="S25" s="5">
        <v>2.8568755051946688</v>
      </c>
      <c r="T25" s="5">
        <v>2.9999999999999996</v>
      </c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</row>
    <row r="26" spans="4:38" x14ac:dyDescent="0.3">
      <c r="E26" s="2">
        <f t="shared" ref="E26:E27" si="25">E25-$B$2</f>
        <v>0.4000000000000003</v>
      </c>
      <c r="F26" s="8"/>
      <c r="G26" s="8"/>
      <c r="H26" s="8"/>
      <c r="I26" s="8"/>
      <c r="J26" s="8"/>
      <c r="K26" s="8"/>
      <c r="L26" s="8"/>
      <c r="M26" s="5">
        <v>0</v>
      </c>
      <c r="N26" s="5">
        <v>0.62833972031269836</v>
      </c>
      <c r="O26" s="5">
        <v>1.0905810183506817</v>
      </c>
      <c r="P26" s="5">
        <v>1.4012195988913105</v>
      </c>
      <c r="Q26" s="5">
        <v>1.6143415453077428</v>
      </c>
      <c r="R26" s="5">
        <v>1.769355016002859</v>
      </c>
      <c r="S26" s="5">
        <v>1.8919458120741033</v>
      </c>
      <c r="T26" s="5">
        <v>1.9999999999999998</v>
      </c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</row>
    <row r="27" spans="4:38" x14ac:dyDescent="0.3">
      <c r="E27" s="2">
        <f t="shared" si="25"/>
        <v>0.20000000000000029</v>
      </c>
      <c r="F27" s="8"/>
      <c r="G27" s="8"/>
      <c r="H27" s="8"/>
      <c r="I27" s="8"/>
      <c r="J27" s="8"/>
      <c r="K27" s="8"/>
      <c r="L27" s="8"/>
      <c r="M27" s="8"/>
      <c r="N27" s="5">
        <v>0</v>
      </c>
      <c r="O27" s="5">
        <v>0.43664643107166662</v>
      </c>
      <c r="P27" s="5">
        <v>0.65600471616726885</v>
      </c>
      <c r="Q27" s="5">
        <v>0.78615284900864557</v>
      </c>
      <c r="R27" s="5">
        <v>0.87426514817916079</v>
      </c>
      <c r="S27" s="5">
        <v>0.94155273862132149</v>
      </c>
      <c r="T27" s="5">
        <v>0.99999999999999989</v>
      </c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</row>
    <row r="28" spans="4:38" x14ac:dyDescent="0.3">
      <c r="E28" s="2">
        <v>0</v>
      </c>
      <c r="F28" s="8"/>
      <c r="G28" s="8"/>
      <c r="H28" s="8"/>
      <c r="I28" s="8"/>
      <c r="J28" s="8"/>
      <c r="K28" s="8"/>
      <c r="L28" s="8"/>
      <c r="M28" s="8"/>
      <c r="N28" s="8"/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</row>
    <row r="29" spans="4:38" x14ac:dyDescent="0.3">
      <c r="E29" s="1"/>
      <c r="F29" s="2">
        <v>0</v>
      </c>
      <c r="G29" s="2">
        <v>0.2</v>
      </c>
      <c r="H29" s="2">
        <v>0.4</v>
      </c>
      <c r="I29" s="2">
        <v>0.6</v>
      </c>
      <c r="J29" s="2">
        <v>0.8</v>
      </c>
      <c r="K29" s="2">
        <v>1</v>
      </c>
      <c r="L29" s="2">
        <v>1.2</v>
      </c>
      <c r="M29" s="2">
        <v>1.4</v>
      </c>
      <c r="N29" s="2">
        <v>1.6</v>
      </c>
      <c r="O29" s="2">
        <v>1.8</v>
      </c>
      <c r="P29" s="2">
        <v>2</v>
      </c>
      <c r="Q29" s="2">
        <v>2.2000000000000002</v>
      </c>
      <c r="R29" s="2">
        <v>2.4</v>
      </c>
      <c r="S29" s="2">
        <v>2.6</v>
      </c>
      <c r="T29" s="2">
        <v>2.8</v>
      </c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</row>
    <row r="30" spans="4:38" x14ac:dyDescent="0.3"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</row>
    <row r="31" spans="4:38" x14ac:dyDescent="0.3">
      <c r="D31" s="17" t="s">
        <v>10</v>
      </c>
      <c r="E31" s="2">
        <v>2</v>
      </c>
      <c r="F31" s="5">
        <f>(F5-F6)/$B$2</f>
        <v>10</v>
      </c>
      <c r="G31" s="5">
        <f t="shared" ref="G31:T31" si="26">(G5-G6)/$B$2</f>
        <v>9.8582767697654283</v>
      </c>
      <c r="H31" s="5">
        <f t="shared" si="26"/>
        <v>9.6756592270895947</v>
      </c>
      <c r="I31" s="5">
        <f t="shared" si="26"/>
        <v>9.4096349903532595</v>
      </c>
      <c r="J31" s="5">
        <f t="shared" si="26"/>
        <v>9.0239141451445448</v>
      </c>
      <c r="K31" s="5">
        <f t="shared" si="26"/>
        <v>8.5155653015993327</v>
      </c>
      <c r="L31" s="5">
        <f t="shared" si="26"/>
        <v>7.948546582384175</v>
      </c>
      <c r="M31" s="5">
        <f t="shared" si="26"/>
        <v>7.3892546660849945</v>
      </c>
      <c r="N31" s="5">
        <f t="shared" si="26"/>
        <v>6.8790494493076615</v>
      </c>
      <c r="O31" s="5">
        <f t="shared" si="26"/>
        <v>6.434968171239257</v>
      </c>
      <c r="P31" s="5">
        <f t="shared" si="26"/>
        <v>6.0578560146243543</v>
      </c>
      <c r="Q31" s="5">
        <f t="shared" si="26"/>
        <v>5.7394576055762414</v>
      </c>
      <c r="R31" s="5">
        <f t="shared" si="26"/>
        <v>5.4669811656194689</v>
      </c>
      <c r="S31" s="5">
        <f t="shared" si="26"/>
        <v>5.2256560403854202</v>
      </c>
      <c r="T31" s="5">
        <f t="shared" si="26"/>
        <v>5.0000000000000089</v>
      </c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</row>
    <row r="32" spans="4:38" x14ac:dyDescent="0.3">
      <c r="E32" s="2">
        <f>E31-$B$2</f>
        <v>1.8</v>
      </c>
      <c r="F32" s="1">
        <f>(F5-F7)/(2*$B$2)</f>
        <v>10</v>
      </c>
      <c r="G32" s="1">
        <f>(G5-G7)/(2*$B$2)</f>
        <v>9.8787239217674472</v>
      </c>
      <c r="H32" s="1">
        <f t="shared" ref="H32:T32" si="27">(H5-H7)/(2*$B$2)</f>
        <v>9.7173625653926088</v>
      </c>
      <c r="I32" s="1">
        <f t="shared" si="27"/>
        <v>9.4694832797948223</v>
      </c>
      <c r="J32" s="1">
        <f t="shared" si="27"/>
        <v>9.0852281229361687</v>
      </c>
      <c r="K32" s="1">
        <f t="shared" si="27"/>
        <v>8.544900208942007</v>
      </c>
      <c r="L32" s="1">
        <f t="shared" si="27"/>
        <v>7.9446831426630693</v>
      </c>
      <c r="M32" s="1">
        <f t="shared" si="27"/>
        <v>7.3647112690478655</v>
      </c>
      <c r="N32" s="1">
        <f t="shared" si="27"/>
        <v>6.8459874287476108</v>
      </c>
      <c r="O32" s="1">
        <f t="shared" si="27"/>
        <v>6.4014835561342132</v>
      </c>
      <c r="P32" s="1">
        <f t="shared" si="27"/>
        <v>6.0284990907887765</v>
      </c>
      <c r="Q32" s="1">
        <f t="shared" si="27"/>
        <v>5.7164965771289795</v>
      </c>
      <c r="R32" s="1">
        <f t="shared" si="27"/>
        <v>5.4514054771594589</v>
      </c>
      <c r="S32" s="1">
        <f t="shared" si="27"/>
        <v>5.2178214810891088</v>
      </c>
      <c r="T32" s="5">
        <f t="shared" si="27"/>
        <v>5.0000000000000018</v>
      </c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</row>
    <row r="33" spans="4:38" x14ac:dyDescent="0.3">
      <c r="E33" s="2">
        <f t="shared" ref="E33:E37" si="28">E32-$B$2</f>
        <v>1.6</v>
      </c>
      <c r="F33" s="1">
        <f t="shared" ref="F33" si="29">(F6-F8)/(2*$B$2)</f>
        <v>10</v>
      </c>
      <c r="G33" s="1">
        <f t="shared" ref="G33:T33" si="30">(G6-G8)/(2*$B$2)</f>
        <v>9.9392563451442761</v>
      </c>
      <c r="H33" s="1">
        <f t="shared" si="30"/>
        <v>9.8455838179810868</v>
      </c>
      <c r="I33" s="1">
        <f t="shared" si="30"/>
        <v>9.6657074162614034</v>
      </c>
      <c r="J33" s="1">
        <f t="shared" si="30"/>
        <v>9.3026148199907617</v>
      </c>
      <c r="K33" s="1">
        <f t="shared" si="30"/>
        <v>8.6341242162129905</v>
      </c>
      <c r="L33" s="1">
        <f t="shared" si="30"/>
        <v>7.9205744391953754</v>
      </c>
      <c r="M33" s="1">
        <f t="shared" si="30"/>
        <v>7.2789197545220485</v>
      </c>
      <c r="N33" s="1">
        <f t="shared" si="30"/>
        <v>6.7387053429549377</v>
      </c>
      <c r="O33" s="1">
        <f t="shared" si="30"/>
        <v>6.2964794352910598</v>
      </c>
      <c r="P33" s="1">
        <f t="shared" si="30"/>
        <v>5.9381601188341637</v>
      </c>
      <c r="Q33" s="1">
        <f t="shared" si="30"/>
        <v>5.6466240548945574</v>
      </c>
      <c r="R33" s="1">
        <f t="shared" si="30"/>
        <v>5.4043226245937488</v>
      </c>
      <c r="S33" s="1">
        <f t="shared" si="30"/>
        <v>5.1942243759404771</v>
      </c>
      <c r="T33" s="5">
        <f t="shared" si="30"/>
        <v>4.9999999999999973</v>
      </c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</row>
    <row r="34" spans="4:38" x14ac:dyDescent="0.3">
      <c r="E34" s="2">
        <f t="shared" si="28"/>
        <v>1.4000000000000001</v>
      </c>
      <c r="F34" s="1">
        <f t="shared" ref="F34" si="31">(F7-F9)/(2*$B$2)</f>
        <v>10</v>
      </c>
      <c r="G34" s="1">
        <f t="shared" ref="G34:T34" si="32">(G7-G9)/(2*$B$2)</f>
        <v>10.032717637876413</v>
      </c>
      <c r="H34" s="1">
        <f t="shared" si="32"/>
        <v>10.060008938719433</v>
      </c>
      <c r="I34" s="1">
        <f t="shared" si="32"/>
        <v>10.045147735395798</v>
      </c>
      <c r="J34" s="1">
        <f t="shared" si="32"/>
        <v>9.8253995047946727</v>
      </c>
      <c r="K34" s="1">
        <f t="shared" si="32"/>
        <v>8.7684073629863786</v>
      </c>
      <c r="L34" s="1">
        <f t="shared" si="32"/>
        <v>7.8245705953571205</v>
      </c>
      <c r="M34" s="1">
        <f t="shared" si="32"/>
        <v>7.0916879026178981</v>
      </c>
      <c r="N34" s="1">
        <f t="shared" si="32"/>
        <v>6.5334346800349037</v>
      </c>
      <c r="O34" s="1">
        <f t="shared" si="32"/>
        <v>6.107568642907566</v>
      </c>
      <c r="P34" s="1">
        <f t="shared" si="32"/>
        <v>5.781037818840062</v>
      </c>
      <c r="Q34" s="1">
        <f t="shared" si="32"/>
        <v>5.5275168318711616</v>
      </c>
      <c r="R34" s="1">
        <f t="shared" si="32"/>
        <v>5.3250365424110679</v>
      </c>
      <c r="S34" s="1">
        <f t="shared" si="32"/>
        <v>5.1547533719347483</v>
      </c>
      <c r="T34" s="5">
        <f t="shared" si="32"/>
        <v>5</v>
      </c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</row>
    <row r="35" spans="4:38" x14ac:dyDescent="0.3">
      <c r="E35" s="2">
        <f t="shared" si="28"/>
        <v>1.2000000000000002</v>
      </c>
      <c r="F35" s="1">
        <f t="shared" ref="F35" si="33">(F8-F10)/(2*$B$2)</f>
        <v>10</v>
      </c>
      <c r="G35" s="1">
        <f t="shared" ref="G35:K36" si="34">(G8-G10)/(2*$B$2)</f>
        <v>10.13160526997301</v>
      </c>
      <c r="H35" s="1">
        <f t="shared" si="34"/>
        <v>10.316586568474115</v>
      </c>
      <c r="I35" s="1">
        <f t="shared" si="34"/>
        <v>10.629475088561966</v>
      </c>
      <c r="J35" s="1">
        <f t="shared" si="34"/>
        <v>11.185428107436964</v>
      </c>
      <c r="K35" s="1">
        <f t="shared" si="34"/>
        <v>8.7895351318058381</v>
      </c>
      <c r="L35" s="1">
        <f t="shared" ref="L35:T35" si="35">(L8-L10)/(2*$B$2)</f>
        <v>7.517612658889183</v>
      </c>
      <c r="M35" s="1">
        <f t="shared" si="35"/>
        <v>6.7298265499143923</v>
      </c>
      <c r="N35" s="1">
        <f t="shared" si="35"/>
        <v>6.1957767889535287</v>
      </c>
      <c r="O35" s="1">
        <f t="shared" si="35"/>
        <v>5.8193225896214855</v>
      </c>
      <c r="P35" s="1">
        <f t="shared" si="35"/>
        <v>5.5509056318674688</v>
      </c>
      <c r="Q35" s="1">
        <f t="shared" si="35"/>
        <v>5.3573688682892247</v>
      </c>
      <c r="R35" s="1">
        <f t="shared" si="35"/>
        <v>5.2135533081347036</v>
      </c>
      <c r="S35" s="1">
        <f t="shared" si="35"/>
        <v>5.0997525522016041</v>
      </c>
      <c r="T35" s="5">
        <f t="shared" si="35"/>
        <v>5</v>
      </c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</row>
    <row r="36" spans="4:38" x14ac:dyDescent="0.3">
      <c r="E36" s="2">
        <f t="shared" si="28"/>
        <v>1.0000000000000002</v>
      </c>
      <c r="F36" s="5">
        <f t="shared" ref="F36:G36" si="36">(F9-F10)/$B$2</f>
        <v>10</v>
      </c>
      <c r="G36" s="5">
        <f t="shared" si="36"/>
        <v>10.177116880712274</v>
      </c>
      <c r="H36" s="5">
        <f>(H9-H10)/$B$2</f>
        <v>10.445256991775915</v>
      </c>
      <c r="I36" s="5">
        <f t="shared" ref="I36:K37" si="37">(I9-I10)/$B$2</f>
        <v>10.970737969618755</v>
      </c>
      <c r="J36" s="5">
        <f t="shared" si="37"/>
        <v>12.178744744538315</v>
      </c>
      <c r="K36" s="1">
        <f t="shared" si="34"/>
        <v>7.6866924280716127</v>
      </c>
      <c r="L36" s="1">
        <f t="shared" ref="L36:L37" si="38">(L9-L11)/(2*$B$2)</f>
        <v>6.7265183757670908</v>
      </c>
      <c r="M36" s="1">
        <f t="shared" ref="M36:T36" si="39">(M9-M11)/(2*$B$2)</f>
        <v>6.1142288547063846</v>
      </c>
      <c r="N36" s="1">
        <f t="shared" si="39"/>
        <v>5.7005233310980667</v>
      </c>
      <c r="O36" s="1">
        <f t="shared" si="39"/>
        <v>5.4230392815582258</v>
      </c>
      <c r="P36" s="1">
        <f t="shared" si="39"/>
        <v>5.2458932339281761</v>
      </c>
      <c r="Q36" s="1">
        <f t="shared" si="39"/>
        <v>5.1374996839512184</v>
      </c>
      <c r="R36" s="1">
        <f t="shared" si="39"/>
        <v>5.0720552562313923</v>
      </c>
      <c r="S36" s="1">
        <f t="shared" si="39"/>
        <v>5.030703521134698</v>
      </c>
      <c r="T36" s="5">
        <f t="shared" si="39"/>
        <v>4.9999999999999982</v>
      </c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</row>
    <row r="37" spans="4:38" x14ac:dyDescent="0.3">
      <c r="E37" s="2">
        <f t="shared" si="28"/>
        <v>0.80000000000000027</v>
      </c>
      <c r="F37" s="8"/>
      <c r="G37" s="8"/>
      <c r="H37" s="8"/>
      <c r="I37" s="8"/>
      <c r="J37" s="8"/>
      <c r="K37" s="5">
        <f t="shared" si="37"/>
        <v>6.6371160023630082</v>
      </c>
      <c r="L37" s="1">
        <f t="shared" si="38"/>
        <v>5.5875396107233533</v>
      </c>
      <c r="M37" s="1">
        <f t="shared" ref="M37:M38" si="40">(M10-M12)/(2*$B$2)</f>
        <v>5.3000472007823793</v>
      </c>
      <c r="N37" s="1">
        <f t="shared" ref="N37:T37" si="41">(N10-N12)/(2*$B$2)</f>
        <v>5.0690484295534937</v>
      </c>
      <c r="O37" s="1">
        <f t="shared" si="41"/>
        <v>4.9264179928844625</v>
      </c>
      <c r="P37" s="1">
        <f t="shared" si="41"/>
        <v>4.8721283534270192</v>
      </c>
      <c r="Q37" s="1">
        <f t="shared" si="41"/>
        <v>4.8746813869417425</v>
      </c>
      <c r="R37" s="1">
        <f t="shared" si="41"/>
        <v>4.9064645175991677</v>
      </c>
      <c r="S37" s="1">
        <f t="shared" si="41"/>
        <v>4.9510062787745888</v>
      </c>
      <c r="T37" s="5">
        <f t="shared" si="41"/>
        <v>4.9999999999999982</v>
      </c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</row>
    <row r="38" spans="4:38" x14ac:dyDescent="0.3">
      <c r="E38" s="2">
        <f>E37-$B$2</f>
        <v>0.60000000000000031</v>
      </c>
      <c r="F38" s="8"/>
      <c r="G38" s="8"/>
      <c r="H38" s="8"/>
      <c r="I38" s="8"/>
      <c r="J38" s="8"/>
      <c r="K38" s="8"/>
      <c r="L38" s="5">
        <f t="shared" ref="L38" si="42">(L11-L12)/$B$2</f>
        <v>5.008455772425437</v>
      </c>
      <c r="M38" s="1">
        <f t="shared" si="40"/>
        <v>4.429371973627851</v>
      </c>
      <c r="N38" s="1">
        <f t="shared" ref="N38:N39" si="43">(N11-N13)/(2*$B$2)</f>
        <v>4.3492052501400709</v>
      </c>
      <c r="O38" s="1">
        <f t="shared" ref="O38:T38" si="44">(O11-O13)/(2*$B$2)</f>
        <v>4.3414559575862599</v>
      </c>
      <c r="P38" s="1">
        <f t="shared" si="44"/>
        <v>4.4415208412888001</v>
      </c>
      <c r="Q38" s="1">
        <f t="shared" si="44"/>
        <v>4.5826330264266124</v>
      </c>
      <c r="R38" s="1">
        <f t="shared" si="44"/>
        <v>4.7281151712491427</v>
      </c>
      <c r="S38" s="1">
        <f t="shared" si="44"/>
        <v>4.8668570884546636</v>
      </c>
      <c r="T38" s="5">
        <f t="shared" si="44"/>
        <v>4.9999999999999991</v>
      </c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</row>
    <row r="39" spans="4:38" x14ac:dyDescent="0.3">
      <c r="E39" s="2">
        <f t="shared" ref="E39:E40" si="45">E38-$B$2</f>
        <v>0.4000000000000003</v>
      </c>
      <c r="F39" s="8"/>
      <c r="G39" s="8"/>
      <c r="H39" s="8"/>
      <c r="I39" s="8"/>
      <c r="J39" s="8"/>
      <c r="K39" s="8"/>
      <c r="L39" s="8"/>
      <c r="M39" s="5">
        <f t="shared" ref="M39" si="46">(M12-M13)/$B$2</f>
        <v>3.9931583234773638</v>
      </c>
      <c r="N39" s="1">
        <f t="shared" si="43"/>
        <v>3.5569447138842079</v>
      </c>
      <c r="O39" s="1">
        <f t="shared" ref="O39:O40" si="47">(O12-O14)/(2*$B$2)</f>
        <v>3.6486798125096431</v>
      </c>
      <c r="P39" s="1">
        <f t="shared" ref="P39:T39" si="48">(P12-P14)/(2*$B$2)</f>
        <v>3.969866089201906</v>
      </c>
      <c r="Q39" s="1">
        <f t="shared" si="48"/>
        <v>4.2862147560524955</v>
      </c>
      <c r="R39" s="1">
        <f t="shared" si="48"/>
        <v>4.5565060895921272</v>
      </c>
      <c r="S39" s="1">
        <f t="shared" si="48"/>
        <v>4.7883069227323292</v>
      </c>
      <c r="T39" s="5">
        <f t="shared" si="48"/>
        <v>4.9999999999999982</v>
      </c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</row>
    <row r="40" spans="4:38" x14ac:dyDescent="0.3">
      <c r="E40" s="2">
        <f t="shared" si="45"/>
        <v>0.20000000000000029</v>
      </c>
      <c r="F40" s="8"/>
      <c r="G40" s="8"/>
      <c r="H40" s="8"/>
      <c r="I40" s="8"/>
      <c r="J40" s="8"/>
      <c r="K40" s="8"/>
      <c r="L40" s="8"/>
      <c r="M40" s="8"/>
      <c r="N40" s="5">
        <f t="shared" ref="N40" si="49">(N13-N14)/$B$2</f>
        <v>3.1416986199586936</v>
      </c>
      <c r="O40" s="1">
        <f t="shared" si="47"/>
        <v>2.7264525618137339</v>
      </c>
      <c r="P40" s="1">
        <f t="shared" ref="P40:T40" si="50">(P13-P15)/(2*$B$2)</f>
        <v>3.5030490151541835</v>
      </c>
      <c r="Q40" s="1">
        <f t="shared" si="50"/>
        <v>4.0358538806220263</v>
      </c>
      <c r="R40" s="1">
        <f t="shared" si="50"/>
        <v>4.4233875529489373</v>
      </c>
      <c r="S40" s="1">
        <f t="shared" si="50"/>
        <v>4.7298645373867805</v>
      </c>
      <c r="T40" s="5">
        <f t="shared" si="50"/>
        <v>4.9999999999999991</v>
      </c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</row>
    <row r="41" spans="4:38" x14ac:dyDescent="0.3">
      <c r="E41" s="2">
        <v>0</v>
      </c>
      <c r="F41" s="8"/>
      <c r="G41" s="8"/>
      <c r="H41" s="8"/>
      <c r="I41" s="8"/>
      <c r="J41" s="8"/>
      <c r="K41" s="8"/>
      <c r="L41" s="8"/>
      <c r="M41" s="8"/>
      <c r="N41" s="8"/>
      <c r="O41" s="5">
        <f t="shared" ref="O41:T41" si="51">(O14-O15)/$B$2</f>
        <v>2.183232168147438</v>
      </c>
      <c r="P41" s="5">
        <f t="shared" si="51"/>
        <v>3.2800235987145285</v>
      </c>
      <c r="Q41" s="5">
        <f t="shared" si="51"/>
        <v>3.930764262067715</v>
      </c>
      <c r="R41" s="5">
        <f t="shared" si="51"/>
        <v>4.3713257545410329</v>
      </c>
      <c r="S41" s="5">
        <f t="shared" si="51"/>
        <v>4.7077637003165798</v>
      </c>
      <c r="T41" s="5">
        <f t="shared" si="51"/>
        <v>4.9999999999999991</v>
      </c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</row>
    <row r="42" spans="4:38" x14ac:dyDescent="0.3">
      <c r="E42" s="1"/>
      <c r="F42" s="2">
        <v>0</v>
      </c>
      <c r="G42" s="2">
        <v>0.2</v>
      </c>
      <c r="H42" s="2">
        <v>0.4</v>
      </c>
      <c r="I42" s="2">
        <v>0.6</v>
      </c>
      <c r="J42" s="2">
        <v>0.8</v>
      </c>
      <c r="K42" s="2">
        <v>1</v>
      </c>
      <c r="L42" s="2">
        <v>1.2</v>
      </c>
      <c r="M42" s="2">
        <v>1.4</v>
      </c>
      <c r="N42" s="2">
        <v>1.6</v>
      </c>
      <c r="O42" s="2">
        <v>1.8</v>
      </c>
      <c r="P42" s="2">
        <v>2</v>
      </c>
      <c r="Q42" s="2">
        <v>2.2000000000000002</v>
      </c>
      <c r="R42" s="2">
        <v>2.4</v>
      </c>
      <c r="S42" s="2">
        <v>2.6</v>
      </c>
      <c r="T42" s="2">
        <v>2.8</v>
      </c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</row>
    <row r="43" spans="4:38" x14ac:dyDescent="0.3"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</row>
    <row r="44" spans="4:38" x14ac:dyDescent="0.3">
      <c r="D44" s="17" t="s">
        <v>11</v>
      </c>
      <c r="E44" s="2">
        <v>2</v>
      </c>
      <c r="F44" s="5">
        <f>-(G18-F18)/$B$2</f>
        <v>0</v>
      </c>
      <c r="G44" s="5">
        <f>-(H18-F18)/(2*$B$2)</f>
        <v>0</v>
      </c>
      <c r="H44" s="5">
        <f t="shared" ref="H44:S44" si="52">-(I18-G18)/(2*$B$2)</f>
        <v>0</v>
      </c>
      <c r="I44" s="5">
        <f t="shared" si="52"/>
        <v>0</v>
      </c>
      <c r="J44" s="5">
        <f t="shared" si="52"/>
        <v>0</v>
      </c>
      <c r="K44" s="5">
        <f t="shared" si="52"/>
        <v>0</v>
      </c>
      <c r="L44" s="5">
        <f t="shared" si="52"/>
        <v>0</v>
      </c>
      <c r="M44" s="5">
        <f t="shared" si="52"/>
        <v>0</v>
      </c>
      <c r="N44" s="5">
        <f t="shared" si="52"/>
        <v>0</v>
      </c>
      <c r="O44" s="5">
        <f t="shared" si="52"/>
        <v>0</v>
      </c>
      <c r="P44" s="5">
        <f t="shared" si="52"/>
        <v>0</v>
      </c>
      <c r="Q44" s="5">
        <f t="shared" si="52"/>
        <v>0</v>
      </c>
      <c r="R44" s="5">
        <f t="shared" si="52"/>
        <v>0</v>
      </c>
      <c r="S44" s="5">
        <f t="shared" si="52"/>
        <v>0</v>
      </c>
      <c r="T44" s="5">
        <f>-(T18-S18)/$B$2</f>
        <v>0</v>
      </c>
    </row>
    <row r="45" spans="4:38" x14ac:dyDescent="0.3">
      <c r="E45" s="2">
        <f>E44-$B$2</f>
        <v>1.8</v>
      </c>
      <c r="F45" s="5">
        <f>-(G19-F19)/$B$2</f>
        <v>-0.14172322806572879</v>
      </c>
      <c r="G45" s="7">
        <f>-(H19-F19)/(2*$B$2)</f>
        <v>-0.16217038407910778</v>
      </c>
      <c r="H45" s="7">
        <f t="shared" ref="H45:S45" si="53">-(I19-G19)/(2*$B$2)</f>
        <v>-0.22432088698746355</v>
      </c>
      <c r="I45" s="7">
        <f t="shared" si="53"/>
        <v>-0.32587253752858203</v>
      </c>
      <c r="J45" s="7">
        <f t="shared" si="53"/>
        <v>-0.44703484034178231</v>
      </c>
      <c r="K45" s="7">
        <f t="shared" si="53"/>
        <v>-0.53768377678264034</v>
      </c>
      <c r="L45" s="7">
        <f t="shared" si="53"/>
        <v>-0.56315531344276692</v>
      </c>
      <c r="M45" s="7">
        <f t="shared" si="53"/>
        <v>-0.53474856301451101</v>
      </c>
      <c r="N45" s="7">
        <f t="shared" si="53"/>
        <v>-0.47714324559723575</v>
      </c>
      <c r="O45" s="7">
        <f t="shared" si="53"/>
        <v>-0.4105967176556824</v>
      </c>
      <c r="P45" s="7">
        <f t="shared" si="53"/>
        <v>-0.34775528552460688</v>
      </c>
      <c r="Q45" s="7">
        <f t="shared" si="53"/>
        <v>-0.2954374296627682</v>
      </c>
      <c r="R45" s="7">
        <f t="shared" si="53"/>
        <v>-0.25690078954352824</v>
      </c>
      <c r="S45" s="7">
        <f t="shared" si="53"/>
        <v>-0.2334905912767038</v>
      </c>
      <c r="T45" s="5">
        <f t="shared" ref="T45:T54" si="54">-(T19-S19)/$B$2</f>
        <v>-0.22565604905949499</v>
      </c>
    </row>
    <row r="46" spans="4:38" x14ac:dyDescent="0.3">
      <c r="E46" s="2">
        <f t="shared" ref="E46:E50" si="55">E45-$B$2</f>
        <v>1.6</v>
      </c>
      <c r="F46" s="5">
        <f t="shared" ref="F46:F49" si="56">-(G20-F20)/$B$2</f>
        <v>-0.24255215278005338</v>
      </c>
      <c r="G46" s="7">
        <f t="shared" ref="G46:S50" si="57">-(H20-F20)/(2*$B$2)</f>
        <v>-0.28263743076762049</v>
      </c>
      <c r="H46" s="7">
        <f t="shared" si="57"/>
        <v>-0.4092406372166546</v>
      </c>
      <c r="I46" s="7">
        <f t="shared" si="57"/>
        <v>-0.63213443656085166</v>
      </c>
      <c r="J46" s="7">
        <f t="shared" si="57"/>
        <v>-0.9245830631966423</v>
      </c>
      <c r="K46" s="7">
        <f t="shared" si="57"/>
        <v>-1.1405449717361948</v>
      </c>
      <c r="L46" s="7">
        <f t="shared" si="57"/>
        <v>-1.1801889312315139</v>
      </c>
      <c r="M46" s="7">
        <f t="shared" si="57"/>
        <v>-1.0986957071130199</v>
      </c>
      <c r="N46" s="7">
        <f t="shared" si="57"/>
        <v>-0.96322770902128596</v>
      </c>
      <c r="O46" s="7">
        <f t="shared" si="57"/>
        <v>-0.8174883382447673</v>
      </c>
      <c r="P46" s="7">
        <f t="shared" si="57"/>
        <v>-0.68498698400757618</v>
      </c>
      <c r="Q46" s="7">
        <f t="shared" si="57"/>
        <v>-0.57709362294164457</v>
      </c>
      <c r="R46" s="7">
        <f t="shared" si="57"/>
        <v>-0.49867510944217708</v>
      </c>
      <c r="S46" s="7">
        <f t="shared" si="57"/>
        <v>-0.45140549263589902</v>
      </c>
      <c r="T46" s="5">
        <f t="shared" si="54"/>
        <v>-0.43564297898824211</v>
      </c>
    </row>
    <row r="47" spans="4:38" x14ac:dyDescent="0.3">
      <c r="E47" s="2">
        <f t="shared" si="55"/>
        <v>1.4000000000000001</v>
      </c>
      <c r="F47" s="5">
        <f t="shared" si="56"/>
        <v>-0.26321053625944835</v>
      </c>
      <c r="G47" s="7">
        <f t="shared" si="57"/>
        <v>-0.31658656435374244</v>
      </c>
      <c r="H47" s="7">
        <f t="shared" si="57"/>
        <v>-0.49786981357456517</v>
      </c>
      <c r="I47" s="7">
        <f t="shared" si="57"/>
        <v>-0.86884153188389046</v>
      </c>
      <c r="J47" s="7">
        <f t="shared" si="57"/>
        <v>-1.4786180347724232</v>
      </c>
      <c r="K47" s="7">
        <f t="shared" si="57"/>
        <v>-1.9197241498816009</v>
      </c>
      <c r="L47" s="7">
        <f t="shared" si="57"/>
        <v>-1.9183597672845965</v>
      </c>
      <c r="M47" s="7">
        <f t="shared" si="57"/>
        <v>-1.7166176523945298</v>
      </c>
      <c r="N47" s="7">
        <f t="shared" si="57"/>
        <v>-1.4595835606995844</v>
      </c>
      <c r="O47" s="7">
        <f t="shared" si="57"/>
        <v>-1.211141941150784</v>
      </c>
      <c r="P47" s="7">
        <f t="shared" si="57"/>
        <v>-0.99761066930991849</v>
      </c>
      <c r="Q47" s="7">
        <f t="shared" si="57"/>
        <v>-0.82927493140475095</v>
      </c>
      <c r="R47" s="7">
        <f t="shared" si="57"/>
        <v>-0.70930047903841054</v>
      </c>
      <c r="S47" s="7">
        <f t="shared" si="57"/>
        <v>-0.63781322893069925</v>
      </c>
      <c r="T47" s="5">
        <f t="shared" si="54"/>
        <v>-0.61410481438155085</v>
      </c>
    </row>
    <row r="48" spans="4:38" x14ac:dyDescent="0.3">
      <c r="E48" s="2">
        <f t="shared" si="55"/>
        <v>1.2000000000000002</v>
      </c>
      <c r="F48" s="5">
        <f t="shared" si="56"/>
        <v>-0.17711687829654377</v>
      </c>
      <c r="G48" s="7">
        <f t="shared" si="57"/>
        <v>-0.22262849329482748</v>
      </c>
      <c r="H48" s="7">
        <f t="shared" si="57"/>
        <v>-0.39681054090154211</v>
      </c>
      <c r="I48" s="7">
        <f t="shared" si="57"/>
        <v>-0.86674387094356486</v>
      </c>
      <c r="J48" s="7">
        <f t="shared" si="57"/>
        <v>-2.2013234327393714</v>
      </c>
      <c r="K48" s="7">
        <f t="shared" si="57"/>
        <v>-3.1413738749090725</v>
      </c>
      <c r="L48" s="7">
        <f t="shared" si="57"/>
        <v>-2.8569083842848007</v>
      </c>
      <c r="M48" s="7">
        <f t="shared" si="57"/>
        <v>-2.3898316160175659</v>
      </c>
      <c r="N48" s="7">
        <f t="shared" si="57"/>
        <v>-1.9473469640488172</v>
      </c>
      <c r="O48" s="7">
        <f t="shared" si="57"/>
        <v>-1.569885197595442</v>
      </c>
      <c r="P48" s="7">
        <f t="shared" si="57"/>
        <v>-1.2650387963489318</v>
      </c>
      <c r="Q48" s="7">
        <f t="shared" si="57"/>
        <v>-1.0330949036814618</v>
      </c>
      <c r="R48" s="7">
        <f t="shared" si="57"/>
        <v>-0.87143857642034028</v>
      </c>
      <c r="S48" s="7">
        <f t="shared" si="57"/>
        <v>-0.77644204355806323</v>
      </c>
      <c r="T48" s="5">
        <f t="shared" si="54"/>
        <v>-0.74514973221584402</v>
      </c>
    </row>
    <row r="49" spans="4:20" x14ac:dyDescent="0.3">
      <c r="E49" s="2">
        <f t="shared" si="55"/>
        <v>1.0000000000000002</v>
      </c>
      <c r="F49" s="5">
        <f t="shared" si="56"/>
        <v>0</v>
      </c>
      <c r="G49" s="5">
        <f t="shared" si="57"/>
        <v>0</v>
      </c>
      <c r="H49" s="5">
        <f t="shared" si="57"/>
        <v>0</v>
      </c>
      <c r="I49" s="5">
        <f t="shared" si="57"/>
        <v>0</v>
      </c>
      <c r="J49" s="5">
        <f t="shared" si="57"/>
        <v>-3.3185579924238815</v>
      </c>
      <c r="K49" s="7">
        <f t="shared" si="57"/>
        <v>-5.5875395919368307</v>
      </c>
      <c r="L49" s="7">
        <f t="shared" si="57"/>
        <v>-3.9780683428392591</v>
      </c>
      <c r="M49" s="7">
        <f t="shared" si="57"/>
        <v>-3.0384535162225532</v>
      </c>
      <c r="N49" s="7">
        <f t="shared" si="57"/>
        <v>-2.3700875161833457</v>
      </c>
      <c r="O49" s="7">
        <f t="shared" si="57"/>
        <v>-1.8560130950661669</v>
      </c>
      <c r="P49" s="7">
        <f t="shared" si="57"/>
        <v>-1.4595643895797239</v>
      </c>
      <c r="Q49" s="7">
        <f t="shared" ref="Q49:S49" si="58">-(R23-P23)/(2*$B$2)</f>
        <v>-1.1666272560592272</v>
      </c>
      <c r="R49" s="7">
        <f t="shared" si="58"/>
        <v>-0.96691679762720417</v>
      </c>
      <c r="S49" s="7">
        <f t="shared" si="58"/>
        <v>-0.85136654071521933</v>
      </c>
      <c r="T49" s="5">
        <f t="shared" si="54"/>
        <v>-0.8136099226931659</v>
      </c>
    </row>
    <row r="50" spans="4:20" x14ac:dyDescent="0.3">
      <c r="E50" s="2">
        <f t="shared" si="55"/>
        <v>0.80000000000000027</v>
      </c>
      <c r="F50" s="8"/>
      <c r="G50" s="8"/>
      <c r="H50" s="8"/>
      <c r="I50" s="8"/>
      <c r="J50" s="8"/>
      <c r="K50" s="5">
        <f t="shared" si="57"/>
        <v>-2.5042278760589274</v>
      </c>
      <c r="L50" s="7">
        <f t="shared" ref="L50:P50" si="59">-(M24-K24)/(2*$B$2)</f>
        <v>-4.4293719529140434</v>
      </c>
      <c r="M50" s="7">
        <f t="shared" si="59"/>
        <v>-3.4158266558172277</v>
      </c>
      <c r="N50" s="7">
        <f t="shared" si="59"/>
        <v>-2.6385365324495167</v>
      </c>
      <c r="O50" s="7">
        <f t="shared" si="59"/>
        <v>-2.0245152908354336</v>
      </c>
      <c r="P50" s="7">
        <f t="shared" si="59"/>
        <v>-1.5505783907667636</v>
      </c>
      <c r="Q50" s="7">
        <f t="shared" ref="Q50:S50" si="60">-(R24-P24)/(2*$B$2)</f>
        <v>-1.206932879014101</v>
      </c>
      <c r="R50" s="7">
        <f t="shared" si="60"/>
        <v>-0.97823473735366151</v>
      </c>
      <c r="S50" s="7">
        <f t="shared" si="60"/>
        <v>-0.84849729827430886</v>
      </c>
      <c r="T50" s="5">
        <f t="shared" si="54"/>
        <v>-0.80655677303202555</v>
      </c>
    </row>
    <row r="51" spans="4:20" x14ac:dyDescent="0.3">
      <c r="E51" s="2">
        <f>E50-$B$2</f>
        <v>0.60000000000000031</v>
      </c>
      <c r="F51" s="8"/>
      <c r="G51" s="8"/>
      <c r="H51" s="8"/>
      <c r="I51" s="8"/>
      <c r="J51" s="8"/>
      <c r="K51" s="8"/>
      <c r="L51" s="5">
        <f t="shared" ref="L51:P51" si="61">-(M25-K25)/(2*$B$2)</f>
        <v>-1.9965791513131821</v>
      </c>
      <c r="M51" s="7">
        <f t="shared" si="61"/>
        <v>-3.5569446940406828</v>
      </c>
      <c r="N51" s="7">
        <f t="shared" si="61"/>
        <v>-2.7437167202525656</v>
      </c>
      <c r="O51" s="7">
        <f t="shared" si="61"/>
        <v>-2.0529331670118194</v>
      </c>
      <c r="P51" s="7">
        <f t="shared" si="61"/>
        <v>-1.5113009911653201</v>
      </c>
      <c r="Q51" s="7">
        <f t="shared" ref="Q51:S51" si="62">-(R25-P25)/(2*$B$2)</f>
        <v>-1.1322910868407299</v>
      </c>
      <c r="R51" s="7">
        <f t="shared" si="62"/>
        <v>-0.89059190025560397</v>
      </c>
      <c r="S51" s="7">
        <f t="shared" si="62"/>
        <v>-0.7578310521067666</v>
      </c>
      <c r="T51" s="5">
        <f t="shared" si="54"/>
        <v>-0.71562247402665369</v>
      </c>
    </row>
    <row r="52" spans="4:20" x14ac:dyDescent="0.3">
      <c r="E52" s="2">
        <f t="shared" ref="E52:E53" si="63">E51-$B$2</f>
        <v>0.4000000000000003</v>
      </c>
      <c r="F52" s="8"/>
      <c r="G52" s="8"/>
      <c r="H52" s="8"/>
      <c r="I52" s="8"/>
      <c r="J52" s="8"/>
      <c r="K52" s="8"/>
      <c r="L52" s="8"/>
      <c r="M52" s="5">
        <f t="shared" ref="M52:P52" si="64">-(N26-L26)/(2*$B$2)</f>
        <v>-1.5708493007817459</v>
      </c>
      <c r="N52" s="7">
        <f t="shared" si="64"/>
        <v>-2.7264525458767039</v>
      </c>
      <c r="O52" s="7">
        <f t="shared" si="64"/>
        <v>-1.9321996964465304</v>
      </c>
      <c r="P52" s="7">
        <f t="shared" si="64"/>
        <v>-1.3094013173926526</v>
      </c>
      <c r="Q52" s="7">
        <f t="shared" ref="Q52:S52" si="65">-(R26-P26)/(2*$B$2)</f>
        <v>-0.92033854277887128</v>
      </c>
      <c r="R52" s="7">
        <f t="shared" si="65"/>
        <v>-0.6940106669159013</v>
      </c>
      <c r="S52" s="7">
        <f t="shared" si="65"/>
        <v>-0.57661245999285182</v>
      </c>
      <c r="T52" s="5">
        <f t="shared" si="54"/>
        <v>-0.54027093962948247</v>
      </c>
    </row>
    <row r="53" spans="4:20" x14ac:dyDescent="0.3">
      <c r="E53" s="2">
        <f t="shared" si="63"/>
        <v>0.20000000000000029</v>
      </c>
      <c r="F53" s="8"/>
      <c r="G53" s="8"/>
      <c r="H53" s="8"/>
      <c r="I53" s="8"/>
      <c r="J53" s="8"/>
      <c r="K53" s="8"/>
      <c r="L53" s="8"/>
      <c r="M53" s="8"/>
      <c r="N53" s="5">
        <f t="shared" ref="N53:P53" si="66">-(O27-M27)/(2*$B$2)</f>
        <v>-1.0916160776791666</v>
      </c>
      <c r="O53" s="7">
        <f t="shared" si="66"/>
        <v>-1.6400117904181721</v>
      </c>
      <c r="P53" s="7">
        <f t="shared" si="66"/>
        <v>-0.87376604484244735</v>
      </c>
      <c r="Q53" s="7">
        <f t="shared" ref="Q53:S53" si="67">-(R27-P27)/(2*$B$2)</f>
        <v>-0.54565108002972984</v>
      </c>
      <c r="R53" s="7">
        <f t="shared" si="67"/>
        <v>-0.38849972403168981</v>
      </c>
      <c r="S53" s="7">
        <f t="shared" si="67"/>
        <v>-0.31433712955209775</v>
      </c>
      <c r="T53" s="5">
        <f t="shared" si="54"/>
        <v>-0.29223630689339197</v>
      </c>
    </row>
    <row r="54" spans="4:20" x14ac:dyDescent="0.3">
      <c r="E54" s="2">
        <v>0</v>
      </c>
      <c r="F54" s="8"/>
      <c r="G54" s="8"/>
      <c r="H54" s="8"/>
      <c r="I54" s="8"/>
      <c r="J54" s="8"/>
      <c r="K54" s="8"/>
      <c r="L54" s="8"/>
      <c r="M54" s="8"/>
      <c r="N54" s="8"/>
      <c r="O54" s="5">
        <f t="shared" ref="O54:P54" si="68">-(P28-N28)/(2*$B$2)</f>
        <v>0</v>
      </c>
      <c r="P54" s="5">
        <f t="shared" si="68"/>
        <v>0</v>
      </c>
      <c r="Q54" s="5">
        <f t="shared" ref="Q54:S54" si="69">-(R28-P28)/(2*$B$2)</f>
        <v>0</v>
      </c>
      <c r="R54" s="5">
        <f t="shared" si="69"/>
        <v>0</v>
      </c>
      <c r="S54" s="5">
        <f t="shared" si="69"/>
        <v>0</v>
      </c>
      <c r="T54" s="5">
        <f t="shared" si="54"/>
        <v>0</v>
      </c>
    </row>
    <row r="55" spans="4:20" x14ac:dyDescent="0.3">
      <c r="E55" s="1"/>
      <c r="F55" s="2">
        <v>0</v>
      </c>
      <c r="G55" s="2">
        <v>0.2</v>
      </c>
      <c r="H55" s="2">
        <v>0.4</v>
      </c>
      <c r="I55" s="2">
        <v>0.6</v>
      </c>
      <c r="J55" s="2">
        <v>0.8</v>
      </c>
      <c r="K55" s="2">
        <v>1</v>
      </c>
      <c r="L55" s="2">
        <v>1.2</v>
      </c>
      <c r="M55" s="2">
        <v>1.4</v>
      </c>
      <c r="N55" s="2">
        <v>1.6</v>
      </c>
      <c r="O55" s="2">
        <v>1.8</v>
      </c>
      <c r="P55" s="2">
        <v>2</v>
      </c>
      <c r="Q55" s="2">
        <v>2.2000000000000002</v>
      </c>
      <c r="R55" s="2">
        <v>2.4</v>
      </c>
      <c r="S55" s="2">
        <v>2.6</v>
      </c>
      <c r="T55" s="2">
        <v>2.8</v>
      </c>
    </row>
    <row r="56" spans="4:20" x14ac:dyDescent="0.3"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</row>
    <row r="57" spans="4:20" x14ac:dyDescent="0.3">
      <c r="D57" s="17" t="s">
        <v>12</v>
      </c>
      <c r="E57" s="2">
        <v>2</v>
      </c>
      <c r="F57" s="5">
        <f>(F31^2+F44^2)^0.5</f>
        <v>10</v>
      </c>
      <c r="G57" s="5">
        <f t="shared" ref="G57:T57" si="70">(G31^2+G44^2)^0.5</f>
        <v>9.8582767697654283</v>
      </c>
      <c r="H57" s="5">
        <f t="shared" si="70"/>
        <v>9.6756592270895947</v>
      </c>
      <c r="I57" s="5">
        <f t="shared" si="70"/>
        <v>9.4096349903532595</v>
      </c>
      <c r="J57" s="5">
        <f t="shared" si="70"/>
        <v>9.0239141451445448</v>
      </c>
      <c r="K57" s="5">
        <f t="shared" si="70"/>
        <v>8.5155653015993327</v>
      </c>
      <c r="L57" s="5">
        <f t="shared" si="70"/>
        <v>7.948546582384175</v>
      </c>
      <c r="M57" s="5">
        <f t="shared" si="70"/>
        <v>7.3892546660849945</v>
      </c>
      <c r="N57" s="5">
        <f t="shared" si="70"/>
        <v>6.8790494493076615</v>
      </c>
      <c r="O57" s="5">
        <f t="shared" si="70"/>
        <v>6.434968171239257</v>
      </c>
      <c r="P57" s="5">
        <f t="shared" si="70"/>
        <v>6.0578560146243543</v>
      </c>
      <c r="Q57" s="5">
        <f t="shared" si="70"/>
        <v>5.7394576055762414</v>
      </c>
      <c r="R57" s="5">
        <f t="shared" si="70"/>
        <v>5.4669811656194689</v>
      </c>
      <c r="S57" s="5">
        <f t="shared" si="70"/>
        <v>5.2256560403854202</v>
      </c>
      <c r="T57" s="5">
        <f t="shared" si="70"/>
        <v>5.0000000000000089</v>
      </c>
    </row>
    <row r="58" spans="4:20" x14ac:dyDescent="0.3">
      <c r="E58" s="2">
        <f>E57-$B$2</f>
        <v>1.8</v>
      </c>
      <c r="F58" s="5">
        <f t="shared" ref="F58:T58" si="71">(F32^2+F45^2)^0.5</f>
        <v>10.001004223245452</v>
      </c>
      <c r="G58" s="7">
        <f t="shared" si="71"/>
        <v>9.8800549368904207</v>
      </c>
      <c r="H58" s="7">
        <f t="shared" si="71"/>
        <v>9.7199513932751973</v>
      </c>
      <c r="I58" s="7">
        <f t="shared" si="71"/>
        <v>9.4750887329369657</v>
      </c>
      <c r="J58" s="7">
        <f t="shared" si="71"/>
        <v>9.0962195550827403</v>
      </c>
      <c r="K58" s="7">
        <f t="shared" si="71"/>
        <v>8.5618002443757355</v>
      </c>
      <c r="L58" s="7">
        <f t="shared" si="71"/>
        <v>7.9646176395589485</v>
      </c>
      <c r="M58" s="7">
        <f t="shared" si="71"/>
        <v>7.3840996812127822</v>
      </c>
      <c r="N58" s="7">
        <f t="shared" si="71"/>
        <v>6.8625949575499057</v>
      </c>
      <c r="O58" s="7">
        <f t="shared" si="71"/>
        <v>6.4146380555730778</v>
      </c>
      <c r="P58" s="7">
        <f t="shared" si="71"/>
        <v>6.038520930348044</v>
      </c>
      <c r="Q58" s="7">
        <f t="shared" si="71"/>
        <v>5.7241258189502684</v>
      </c>
      <c r="R58" s="7">
        <f t="shared" si="71"/>
        <v>5.4574554228204413</v>
      </c>
      <c r="S58" s="7">
        <f t="shared" si="71"/>
        <v>5.2230430655633775</v>
      </c>
      <c r="T58" s="5">
        <f t="shared" si="71"/>
        <v>5.0050894749721664</v>
      </c>
    </row>
    <row r="59" spans="4:20" x14ac:dyDescent="0.3">
      <c r="E59" s="2">
        <f t="shared" ref="E59:E63" si="72">E58-$B$2</f>
        <v>1.6</v>
      </c>
      <c r="F59" s="5">
        <f t="shared" ref="F59:T59" si="73">(F33^2+F46^2)^0.5</f>
        <v>10.002941144824268</v>
      </c>
      <c r="G59" s="7">
        <f t="shared" si="73"/>
        <v>9.9432741394251849</v>
      </c>
      <c r="H59" s="7">
        <f t="shared" si="73"/>
        <v>9.8540853769409029</v>
      </c>
      <c r="I59" s="7">
        <f t="shared" si="73"/>
        <v>9.6863560642099475</v>
      </c>
      <c r="J59" s="7">
        <f t="shared" si="73"/>
        <v>9.3484488729340462</v>
      </c>
      <c r="K59" s="7">
        <f t="shared" si="73"/>
        <v>8.7091299113946103</v>
      </c>
      <c r="L59" s="7">
        <f t="shared" si="73"/>
        <v>8.008017567428066</v>
      </c>
      <c r="M59" s="7">
        <f t="shared" si="73"/>
        <v>7.3613724976800281</v>
      </c>
      <c r="N59" s="7">
        <f t="shared" si="73"/>
        <v>6.807198933378972</v>
      </c>
      <c r="O59" s="7">
        <f t="shared" si="73"/>
        <v>6.3493259848750414</v>
      </c>
      <c r="P59" s="7">
        <f t="shared" si="73"/>
        <v>5.9775373495422315</v>
      </c>
      <c r="Q59" s="7">
        <f t="shared" si="73"/>
        <v>5.6760373736396215</v>
      </c>
      <c r="R59" s="7">
        <f t="shared" si="73"/>
        <v>5.4272810776182423</v>
      </c>
      <c r="S59" s="7">
        <f t="shared" si="73"/>
        <v>5.2138022389035914</v>
      </c>
      <c r="T59" s="5">
        <f t="shared" si="73"/>
        <v>5.018942598311094</v>
      </c>
    </row>
    <row r="60" spans="4:20" x14ac:dyDescent="0.3">
      <c r="E60" s="2">
        <f t="shared" si="72"/>
        <v>1.4000000000000001</v>
      </c>
      <c r="F60" s="5">
        <f t="shared" ref="F60:T60" si="74">(F34^2+F47^2)^0.5</f>
        <v>10.003463389566535</v>
      </c>
      <c r="G60" s="7">
        <f t="shared" si="74"/>
        <v>10.037711405200181</v>
      </c>
      <c r="H60" s="7">
        <f t="shared" si="74"/>
        <v>10.072321192177286</v>
      </c>
      <c r="I60" s="7">
        <f t="shared" si="74"/>
        <v>10.082652361033464</v>
      </c>
      <c r="J60" s="7">
        <f t="shared" si="74"/>
        <v>9.9360347584725002</v>
      </c>
      <c r="K60" s="7">
        <f t="shared" si="74"/>
        <v>8.9760965065507392</v>
      </c>
      <c r="L60" s="7">
        <f t="shared" si="74"/>
        <v>8.056302452022484</v>
      </c>
      <c r="M60" s="7">
        <f t="shared" si="74"/>
        <v>7.2964932311795883</v>
      </c>
      <c r="N60" s="7">
        <f t="shared" si="74"/>
        <v>6.6944867532132193</v>
      </c>
      <c r="O60" s="7">
        <f t="shared" si="74"/>
        <v>6.226496569455592</v>
      </c>
      <c r="P60" s="7">
        <f t="shared" si="74"/>
        <v>5.8664832148724368</v>
      </c>
      <c r="Q60" s="7">
        <f t="shared" si="74"/>
        <v>5.5893773569580496</v>
      </c>
      <c r="R60" s="7">
        <f t="shared" si="74"/>
        <v>5.3720686283383738</v>
      </c>
      <c r="S60" s="7">
        <f t="shared" si="74"/>
        <v>5.1940627682452645</v>
      </c>
      <c r="T60" s="5">
        <f t="shared" si="74"/>
        <v>5.0375713119564471</v>
      </c>
    </row>
    <row r="61" spans="4:20" x14ac:dyDescent="0.3">
      <c r="E61" s="2">
        <f t="shared" si="72"/>
        <v>1.2000000000000002</v>
      </c>
      <c r="F61" s="5">
        <f t="shared" ref="F61:T61" si="75">(F35^2+F48^2)^0.5</f>
        <v>10.001568396435507</v>
      </c>
      <c r="G61" s="7">
        <f t="shared" si="75"/>
        <v>10.134050956679248</v>
      </c>
      <c r="H61" s="7">
        <f t="shared" si="75"/>
        <v>10.324215080585597</v>
      </c>
      <c r="I61" s="7">
        <f t="shared" si="75"/>
        <v>10.664754361736497</v>
      </c>
      <c r="J61" s="7">
        <f t="shared" si="75"/>
        <v>11.399983631662298</v>
      </c>
      <c r="K61" s="7">
        <f t="shared" si="75"/>
        <v>9.3340322291713953</v>
      </c>
      <c r="L61" s="7">
        <f t="shared" si="75"/>
        <v>8.0421654798497944</v>
      </c>
      <c r="M61" s="7">
        <f t="shared" si="75"/>
        <v>7.1415586915497506</v>
      </c>
      <c r="N61" s="7">
        <f t="shared" si="75"/>
        <v>6.4945985416286849</v>
      </c>
      <c r="O61" s="7">
        <f t="shared" si="75"/>
        <v>6.0273588689996043</v>
      </c>
      <c r="P61" s="7">
        <f t="shared" si="75"/>
        <v>5.6932307603122796</v>
      </c>
      <c r="Q61" s="7">
        <f t="shared" si="75"/>
        <v>5.4560687560666956</v>
      </c>
      <c r="R61" s="7">
        <f t="shared" si="75"/>
        <v>5.285881505410031</v>
      </c>
      <c r="S61" s="7">
        <f t="shared" si="75"/>
        <v>5.1585209450666571</v>
      </c>
      <c r="T61" s="5">
        <f t="shared" si="75"/>
        <v>5.0552198887309876</v>
      </c>
    </row>
    <row r="62" spans="4:20" x14ac:dyDescent="0.3">
      <c r="E62" s="2">
        <f t="shared" si="72"/>
        <v>1.0000000000000002</v>
      </c>
      <c r="F62" s="5">
        <f t="shared" ref="F62:T62" si="76">(F36^2+F49^2)^0.5</f>
        <v>10</v>
      </c>
      <c r="G62" s="5">
        <f t="shared" si="76"/>
        <v>10.177116880712274</v>
      </c>
      <c r="H62" s="5">
        <f t="shared" si="76"/>
        <v>10.445256991775915</v>
      </c>
      <c r="I62" s="5">
        <f t="shared" si="76"/>
        <v>10.970737969618755</v>
      </c>
      <c r="J62" s="5">
        <f t="shared" si="76"/>
        <v>12.622783001450198</v>
      </c>
      <c r="K62" s="7">
        <f t="shared" si="76"/>
        <v>9.5029384495131328</v>
      </c>
      <c r="L62" s="7">
        <f t="shared" si="76"/>
        <v>7.8147986026405203</v>
      </c>
      <c r="M62" s="7">
        <f t="shared" si="76"/>
        <v>6.8275906627425567</v>
      </c>
      <c r="N62" s="7">
        <f t="shared" si="76"/>
        <v>6.1735954744995682</v>
      </c>
      <c r="O62" s="7">
        <f t="shared" si="76"/>
        <v>5.7318530736909725</v>
      </c>
      <c r="P62" s="7">
        <f t="shared" si="76"/>
        <v>5.4451560151296539</v>
      </c>
      <c r="Q62" s="7">
        <f t="shared" si="76"/>
        <v>5.2682940461955186</v>
      </c>
      <c r="R62" s="7">
        <f t="shared" si="76"/>
        <v>5.1633973908462769</v>
      </c>
      <c r="S62" s="7">
        <f t="shared" si="76"/>
        <v>5.1022350890767907</v>
      </c>
      <c r="T62" s="5">
        <f t="shared" si="76"/>
        <v>5.0657636251906544</v>
      </c>
    </row>
    <row r="63" spans="4:20" x14ac:dyDescent="0.3">
      <c r="E63" s="2">
        <f t="shared" si="72"/>
        <v>0.80000000000000027</v>
      </c>
      <c r="F63" s="8"/>
      <c r="G63" s="8"/>
      <c r="H63" s="8"/>
      <c r="I63" s="8"/>
      <c r="J63" s="8"/>
      <c r="K63" s="5">
        <f t="shared" ref="K63:T63" si="77">(K37^2+K50^2)^0.5</f>
        <v>7.0938329613865116</v>
      </c>
      <c r="L63" s="7">
        <f t="shared" si="77"/>
        <v>7.1302128158045921</v>
      </c>
      <c r="M63" s="7">
        <f t="shared" si="77"/>
        <v>6.305424020088787</v>
      </c>
      <c r="N63" s="7">
        <f t="shared" si="77"/>
        <v>5.7146414598143824</v>
      </c>
      <c r="O63" s="7">
        <f t="shared" si="77"/>
        <v>5.3261859152157136</v>
      </c>
      <c r="P63" s="7">
        <f t="shared" si="77"/>
        <v>5.1129177617266954</v>
      </c>
      <c r="Q63" s="7">
        <f t="shared" si="77"/>
        <v>5.0218727182836425</v>
      </c>
      <c r="R63" s="7">
        <f t="shared" si="77"/>
        <v>5.0030328065909204</v>
      </c>
      <c r="S63" s="7">
        <f t="shared" si="77"/>
        <v>5.0231873185900806</v>
      </c>
      <c r="T63" s="5">
        <f t="shared" si="77"/>
        <v>5.0646356066477098</v>
      </c>
    </row>
    <row r="64" spans="4:20" x14ac:dyDescent="0.3">
      <c r="E64" s="2">
        <f>E63-$B$2</f>
        <v>0.60000000000000031</v>
      </c>
      <c r="F64" s="8"/>
      <c r="G64" s="8"/>
      <c r="H64" s="8"/>
      <c r="I64" s="8"/>
      <c r="J64" s="8"/>
      <c r="K64" s="8"/>
      <c r="L64" s="5">
        <f t="shared" ref="L64:T64" si="78">(L38^2+L51^2)^0.5</f>
        <v>5.3917490234431487</v>
      </c>
      <c r="M64" s="7">
        <f t="shared" si="78"/>
        <v>5.6807738590111159</v>
      </c>
      <c r="N64" s="7">
        <f t="shared" si="78"/>
        <v>5.1423309645373321</v>
      </c>
      <c r="O64" s="7">
        <f t="shared" si="78"/>
        <v>4.8023717494461433</v>
      </c>
      <c r="P64" s="7">
        <f t="shared" si="78"/>
        <v>4.6916029317814232</v>
      </c>
      <c r="Q64" s="7">
        <f t="shared" si="78"/>
        <v>4.7204458010059698</v>
      </c>
      <c r="R64" s="7">
        <f t="shared" si="78"/>
        <v>4.8112604383256157</v>
      </c>
      <c r="S64" s="7">
        <f t="shared" si="78"/>
        <v>4.92550564135081</v>
      </c>
      <c r="T64" s="5">
        <f t="shared" si="78"/>
        <v>5.0509519424888634</v>
      </c>
    </row>
    <row r="65" spans="5:20" x14ac:dyDescent="0.3">
      <c r="E65" s="2">
        <f t="shared" ref="E65:E66" si="79">E64-$B$2</f>
        <v>0.4000000000000003</v>
      </c>
      <c r="F65" s="8"/>
      <c r="G65" s="8"/>
      <c r="H65" s="8"/>
      <c r="I65" s="8"/>
      <c r="J65" s="8"/>
      <c r="K65" s="8"/>
      <c r="L65" s="8"/>
      <c r="M65" s="5">
        <f t="shared" ref="M65:T65" si="80">(M39^2+M52^2)^0.5</f>
        <v>4.2910232954533178</v>
      </c>
      <c r="N65" s="7">
        <f t="shared" si="80"/>
        <v>4.4816737032660434</v>
      </c>
      <c r="O65" s="7">
        <f t="shared" si="80"/>
        <v>4.1287116684461598</v>
      </c>
      <c r="P65" s="7">
        <f t="shared" si="80"/>
        <v>4.1802354689879433</v>
      </c>
      <c r="Q65" s="7">
        <f t="shared" si="80"/>
        <v>4.3839092107759816</v>
      </c>
      <c r="R65" s="7">
        <f t="shared" si="80"/>
        <v>4.6090561452734757</v>
      </c>
      <c r="S65" s="7">
        <f t="shared" si="80"/>
        <v>4.8229000731204614</v>
      </c>
      <c r="T65" s="5">
        <f t="shared" si="80"/>
        <v>5.0291045612721259</v>
      </c>
    </row>
    <row r="66" spans="5:20" x14ac:dyDescent="0.3">
      <c r="E66" s="2">
        <f t="shared" si="79"/>
        <v>0.20000000000000029</v>
      </c>
      <c r="F66" s="8"/>
      <c r="G66" s="8"/>
      <c r="H66" s="8"/>
      <c r="I66" s="8"/>
      <c r="J66" s="8"/>
      <c r="K66" s="8"/>
      <c r="L66" s="8"/>
      <c r="M66" s="8"/>
      <c r="N66" s="5">
        <f t="shared" ref="N66:T66" si="81">(N40^2+N53^2)^0.5</f>
        <v>3.3259428557475261</v>
      </c>
      <c r="O66" s="7">
        <f t="shared" si="81"/>
        <v>3.1816948698030885</v>
      </c>
      <c r="P66" s="7">
        <f t="shared" si="81"/>
        <v>3.6103766429130784</v>
      </c>
      <c r="Q66" s="7">
        <f t="shared" si="81"/>
        <v>4.0725730990209961</v>
      </c>
      <c r="R66" s="7">
        <f t="shared" si="81"/>
        <v>4.4404154624490131</v>
      </c>
      <c r="S66" s="7">
        <f t="shared" si="81"/>
        <v>4.7402981312407046</v>
      </c>
      <c r="T66" s="5">
        <f t="shared" si="81"/>
        <v>5.0085329248260591</v>
      </c>
    </row>
    <row r="67" spans="5:20" x14ac:dyDescent="0.3">
      <c r="E67" s="2">
        <v>0</v>
      </c>
      <c r="F67" s="8"/>
      <c r="G67" s="8"/>
      <c r="H67" s="8"/>
      <c r="I67" s="8"/>
      <c r="J67" s="8"/>
      <c r="K67" s="8"/>
      <c r="L67" s="8"/>
      <c r="M67" s="8"/>
      <c r="N67" s="8"/>
      <c r="O67" s="5">
        <f t="shared" ref="O67:T67" si="82">(O41^2+O54^2)^0.5</f>
        <v>2.183232168147438</v>
      </c>
      <c r="P67" s="5">
        <f t="shared" si="82"/>
        <v>3.2800235987145285</v>
      </c>
      <c r="Q67" s="5">
        <f t="shared" si="82"/>
        <v>3.930764262067715</v>
      </c>
      <c r="R67" s="5">
        <f t="shared" si="82"/>
        <v>4.3713257545410329</v>
      </c>
      <c r="S67" s="5">
        <f t="shared" si="82"/>
        <v>4.7077637003165798</v>
      </c>
      <c r="T67" s="5">
        <f t="shared" si="82"/>
        <v>4.9999999999999991</v>
      </c>
    </row>
    <row r="68" spans="5:20" x14ac:dyDescent="0.3">
      <c r="E68" s="1"/>
      <c r="F68" s="2">
        <v>0</v>
      </c>
      <c r="G68" s="2">
        <v>0.2</v>
      </c>
      <c r="H68" s="2">
        <v>0.4</v>
      </c>
      <c r="I68" s="2">
        <v>0.6</v>
      </c>
      <c r="J68" s="2">
        <v>0.8</v>
      </c>
      <c r="K68" s="2">
        <v>1</v>
      </c>
      <c r="L68" s="2">
        <v>1.2</v>
      </c>
      <c r="M68" s="2">
        <v>1.4</v>
      </c>
      <c r="N68" s="2">
        <v>1.6</v>
      </c>
      <c r="O68" s="2">
        <v>1.8</v>
      </c>
      <c r="P68" s="2">
        <v>2</v>
      </c>
      <c r="Q68" s="2">
        <v>2.2000000000000002</v>
      </c>
      <c r="R68" s="2">
        <v>2.4</v>
      </c>
      <c r="S68" s="2">
        <v>2.6</v>
      </c>
      <c r="T68" s="2">
        <v>2.8</v>
      </c>
    </row>
  </sheetData>
  <conditionalFormatting sqref="F18:T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4.4" x14ac:dyDescent="0.3"/>
  <sheetData/>
  <pageMargins left="0.7" right="0.7" top="0.75" bottom="0.75" header="0.3" footer="0.3"/>
  <pageSetup paperSize="9" orientation="portrait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4.4" x14ac:dyDescent="0.3"/>
  <sheetData/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2021-04-15T19:28:30Z</dcterms:modified>
</cp:coreProperties>
</file>