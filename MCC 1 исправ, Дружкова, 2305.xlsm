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3040" windowHeight="9192" activeTab="4"/>
  </bookViews>
  <sheets>
    <sheet name="Диаграмма1" sheetId="4" r:id="rId1"/>
    <sheet name="Лист1" sheetId="1" r:id="rId2"/>
    <sheet name="Лист2" sheetId="2" r:id="rId3"/>
    <sheet name="Лист3" sheetId="3" r:id="rId4"/>
    <sheet name="Лист4" sheetId="5" r:id="rId5"/>
  </sheets>
  <externalReferences>
    <externalReference r:id="rId6"/>
  </externalReferences>
  <calcPr calcId="162913"/>
</workbook>
</file>

<file path=xl/calcChain.xml><?xml version="1.0" encoding="utf-8"?>
<calcChain xmlns="http://schemas.openxmlformats.org/spreadsheetml/2006/main">
  <c r="AI17" i="5" l="1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AJ14" i="5"/>
  <c r="G13" i="5"/>
  <c r="H13" i="5" s="1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AC13" i="5" s="1"/>
  <c r="AD13" i="5" s="1"/>
  <c r="AE13" i="5" s="1"/>
  <c r="AF13" i="5" s="1"/>
  <c r="AG13" i="5" s="1"/>
  <c r="AH13" i="5" s="1"/>
  <c r="AI13" i="5" s="1"/>
  <c r="AJ13" i="5" s="1"/>
  <c r="C18" i="5"/>
  <c r="C5" i="5" s="1"/>
  <c r="B18" i="5"/>
  <c r="C4" i="5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4" i="3"/>
  <c r="G13" i="3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C4" i="3"/>
  <c r="B18" i="3" s="1"/>
  <c r="L17" i="2" l="1"/>
  <c r="M17" i="2"/>
  <c r="N17" i="2"/>
  <c r="T17" i="2"/>
  <c r="U17" i="2"/>
  <c r="V17" i="2"/>
  <c r="AB17" i="2"/>
  <c r="AC17" i="2"/>
  <c r="AD17" i="2"/>
  <c r="Q18" i="2"/>
  <c r="U18" i="2"/>
  <c r="Y18" i="2"/>
  <c r="F18" i="2"/>
  <c r="G13" i="2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C4" i="2"/>
  <c r="B18" i="2" s="1"/>
  <c r="H17" i="1"/>
  <c r="I17" i="1"/>
  <c r="J17" i="1"/>
  <c r="K17" i="1"/>
  <c r="M17" i="1"/>
  <c r="N17" i="1"/>
  <c r="O17" i="1"/>
  <c r="P17" i="1"/>
  <c r="Q17" i="1"/>
  <c r="R17" i="1"/>
  <c r="S17" i="1"/>
  <c r="U17" i="1"/>
  <c r="V17" i="1"/>
  <c r="W17" i="1"/>
  <c r="X17" i="1"/>
  <c r="Y17" i="1"/>
  <c r="Z17" i="1"/>
  <c r="AA17" i="1"/>
  <c r="AC17" i="1"/>
  <c r="AD17" i="1"/>
  <c r="AE17" i="1"/>
  <c r="AF17" i="1"/>
  <c r="AG17" i="1"/>
  <c r="AH17" i="1"/>
  <c r="C4" i="1"/>
  <c r="G17" i="1" s="1"/>
  <c r="B18" i="1"/>
  <c r="AJ14" i="1"/>
  <c r="AI17" i="1" s="1"/>
  <c r="G13" i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M18" i="2" l="1"/>
  <c r="S17" i="2"/>
  <c r="AH17" i="2"/>
  <c r="Z17" i="2"/>
  <c r="R17" i="2"/>
  <c r="J17" i="2"/>
  <c r="F14" i="2"/>
  <c r="G17" i="2" s="1"/>
  <c r="AG17" i="2"/>
  <c r="Y17" i="2"/>
  <c r="Q17" i="2"/>
  <c r="I17" i="2"/>
  <c r="AB17" i="1"/>
  <c r="T17" i="1"/>
  <c r="L17" i="1"/>
  <c r="AG18" i="2"/>
  <c r="AF17" i="2"/>
  <c r="X17" i="2"/>
  <c r="P17" i="2"/>
  <c r="H17" i="2"/>
  <c r="AA17" i="2"/>
  <c r="K17" i="2"/>
  <c r="AC18" i="2"/>
  <c r="AE17" i="2"/>
  <c r="W17" i="2"/>
  <c r="O17" i="2"/>
  <c r="AI17" i="2"/>
  <c r="AF18" i="2"/>
  <c r="AB18" i="2"/>
  <c r="X18" i="2"/>
  <c r="T18" i="2"/>
  <c r="P18" i="2"/>
  <c r="L18" i="2"/>
  <c r="H18" i="2"/>
  <c r="I18" i="2"/>
  <c r="AH18" i="2"/>
  <c r="AD18" i="2"/>
  <c r="Z18" i="2"/>
  <c r="V18" i="2"/>
  <c r="R18" i="2"/>
  <c r="N18" i="2"/>
  <c r="J18" i="2"/>
  <c r="AI18" i="2"/>
  <c r="AE18" i="2"/>
  <c r="AA18" i="2"/>
  <c r="W18" i="2"/>
  <c r="S18" i="2"/>
  <c r="O18" i="2"/>
  <c r="K18" i="2"/>
  <c r="G18" i="2" l="1"/>
</calcChain>
</file>

<file path=xl/sharedStrings.xml><?xml version="1.0" encoding="utf-8"?>
<sst xmlns="http://schemas.openxmlformats.org/spreadsheetml/2006/main" count="50" uniqueCount="15">
  <si>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</si>
  <si>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</si>
  <si>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</si>
  <si>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</si>
  <si>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</si>
  <si>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</si>
  <si>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</si>
  <si>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</si>
  <si>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</si>
  <si>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</si>
  <si>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</si>
  <si>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Q_start</t>
  </si>
  <si>
    <t>q</t>
  </si>
  <si>
    <t>alfa</t>
  </si>
  <si>
    <t>T_gas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</si>
</sst>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Fill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896192"/>
        <c:axId val="147897728"/>
      </c:barChart>
      <c:catAx>
        <c:axId val="147896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47897728"/>
        <c:crosses val="autoZero"/>
        <c:auto val="1"/>
        <c:lblAlgn val="ctr"/>
        <c:lblOffset val="100"/>
        <c:noMultiLvlLbl val="0"/>
      </c:catAx>
      <c:valAx>
        <c:axId val="1478977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7896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Лист1!$E$13</c:f>
              <c:strCache>
                <c:ptCount val="1"/>
                <c:pt idx="0">
                  <c:v>L</c:v>
                </c:pt>
              </c:strCache>
            </c:strRef>
          </c:tx>
          <c:spPr>
            <a:ln w="47625" cap="rnd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2F-4563-A8FC-9260498D866B}"/>
            </c:ext>
          </c:extLst>
        </c:ser>
        <c:ser>
          <c:idx val="1"/>
          <c:order val="1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spPr>
            <a:ln w="4762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2F-4563-A8FC-9260498D8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23264"/>
        <c:axId val="152124800"/>
      </c:lineChart>
      <c:catAx>
        <c:axId val="152123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24800"/>
        <c:crosses val="autoZero"/>
        <c:auto val="1"/>
        <c:lblAlgn val="ctr"/>
        <c:lblOffset val="100"/>
        <c:noMultiLvlLbl val="0"/>
      </c:catAx>
      <c:valAx>
        <c:axId val="1521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232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01-4331-AEE2-872C651C6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50304"/>
        <c:axId val="152060288"/>
      </c:scatterChart>
      <c:valAx>
        <c:axId val="15205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45923494175723395"/>
              <c:y val="0.883007990267990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060288"/>
        <c:crosses val="autoZero"/>
        <c:crossBetween val="midCat"/>
        <c:majorUnit val="1.0000000000000002E-2"/>
      </c:valAx>
      <c:valAx>
        <c:axId val="15206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05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71062992125984"/>
          <c:y val="0.12124442767176924"/>
          <c:w val="0.74167125984252014"/>
          <c:h val="0.748714842038227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Лист2!$E$14</c:f>
              <c:strCache>
                <c:ptCount val="1"/>
                <c:pt idx="0">
                  <c:v>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Лист2!$F$13:$AJ$13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Лист2!$F$14:$AJ$14</c:f>
              <c:numCache>
                <c:formatCode>General</c:formatCode>
                <c:ptCount val="31"/>
                <c:pt idx="0">
                  <c:v>299.99997763459675</c:v>
                </c:pt>
                <c:pt idx="1">
                  <c:v>293.33331096793006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3E-4019-8006-1E3E29B60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97536"/>
        <c:axId val="152099072"/>
      </c:scatterChart>
      <c:valAx>
        <c:axId val="15209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L, [M]</a:t>
                </a:r>
                <a:endParaRPr lang="ru-RU" sz="12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099072"/>
        <c:crosses val="autoZero"/>
        <c:crossBetween val="midCat"/>
      </c:valAx>
      <c:valAx>
        <c:axId val="15209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[C]</a:t>
                </a:r>
                <a:endParaRPr lang="ru-RU" sz="1200"/>
              </a:p>
            </c:rich>
          </c:tx>
          <c:layout>
            <c:manualLayout>
              <c:xMode val="edge"/>
              <c:yMode val="edge"/>
              <c:x val="5.4887263266040896E-2"/>
              <c:y val="0.4020289453181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09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3"/>
              </a:soli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strRef>
              <c:f>[1]Лист3!$E$13:$AI$13</c:f>
              <c:strCache>
                <c:ptCount val="31"/>
                <c:pt idx="0">
                  <c:v>L</c:v>
                </c:pt>
                <c:pt idx="1">
                  <c:v>0</c:v>
                </c:pt>
                <c:pt idx="2">
                  <c:v>0,433</c:v>
                </c:pt>
                <c:pt idx="3">
                  <c:v>0,866</c:v>
                </c:pt>
                <c:pt idx="4">
                  <c:v>1,299</c:v>
                </c:pt>
                <c:pt idx="5">
                  <c:v>1,732</c:v>
                </c:pt>
                <c:pt idx="6">
                  <c:v>2,165</c:v>
                </c:pt>
                <c:pt idx="7">
                  <c:v>2,598</c:v>
                </c:pt>
                <c:pt idx="8">
                  <c:v>3,031</c:v>
                </c:pt>
                <c:pt idx="9">
                  <c:v>3,464</c:v>
                </c:pt>
                <c:pt idx="10">
                  <c:v>3,897</c:v>
                </c:pt>
                <c:pt idx="11">
                  <c:v>4,33</c:v>
                </c:pt>
                <c:pt idx="12">
                  <c:v>4,763</c:v>
                </c:pt>
                <c:pt idx="13">
                  <c:v>5,196</c:v>
                </c:pt>
                <c:pt idx="14">
                  <c:v>5,629</c:v>
                </c:pt>
                <c:pt idx="15">
                  <c:v>6,062</c:v>
                </c:pt>
                <c:pt idx="16">
                  <c:v>6,495</c:v>
                </c:pt>
                <c:pt idx="17">
                  <c:v>6,928</c:v>
                </c:pt>
                <c:pt idx="18">
                  <c:v>7,361</c:v>
                </c:pt>
                <c:pt idx="19">
                  <c:v>7,794</c:v>
                </c:pt>
                <c:pt idx="20">
                  <c:v>8,227</c:v>
                </c:pt>
                <c:pt idx="21">
                  <c:v>8,66</c:v>
                </c:pt>
                <c:pt idx="22">
                  <c:v>9,093</c:v>
                </c:pt>
                <c:pt idx="23">
                  <c:v>9,526</c:v>
                </c:pt>
                <c:pt idx="24">
                  <c:v>9,959</c:v>
                </c:pt>
                <c:pt idx="25">
                  <c:v>10,392</c:v>
                </c:pt>
                <c:pt idx="26">
                  <c:v>10,825</c:v>
                </c:pt>
                <c:pt idx="27">
                  <c:v>11,258</c:v>
                </c:pt>
                <c:pt idx="28">
                  <c:v>11,691</c:v>
                </c:pt>
                <c:pt idx="29">
                  <c:v>12,124</c:v>
                </c:pt>
                <c:pt idx="30">
                  <c:v>12,557</c:v>
                </c:pt>
              </c:strCache>
            </c:strRef>
          </c:xVal>
          <c:yVal>
            <c:numRef>
              <c:f>[1]Лист3!$E$14:$AI$14</c:f>
              <c:numCache>
                <c:formatCode>General</c:formatCode>
                <c:ptCount val="31"/>
                <c:pt idx="0">
                  <c:v>0</c:v>
                </c:pt>
                <c:pt idx="1">
                  <c:v>299.8359383227513</c:v>
                </c:pt>
                <c:pt idx="2">
                  <c:v>293.15738312874777</c:v>
                </c:pt>
                <c:pt idx="3">
                  <c:v>286.47989821518399</c:v>
                </c:pt>
                <c:pt idx="4">
                  <c:v>279.80354937767186</c:v>
                </c:pt>
                <c:pt idx="5">
                  <c:v>273.12839553128856</c:v>
                </c:pt>
                <c:pt idx="6">
                  <c:v>266.45448827270877</c:v>
                </c:pt>
                <c:pt idx="7">
                  <c:v>259.78187168411955</c:v>
                </c:pt>
                <c:pt idx="8">
                  <c:v>253.11058191036571</c:v>
                </c:pt>
                <c:pt idx="9">
                  <c:v>246.44064712898484</c:v>
                </c:pt>
                <c:pt idx="10">
                  <c:v>239.77208715586931</c:v>
                </c:pt>
                <c:pt idx="11">
                  <c:v>233.10491357818461</c:v>
                </c:pt>
                <c:pt idx="12">
                  <c:v>226.43912940278241</c:v>
                </c:pt>
                <c:pt idx="13">
                  <c:v>219.77472934348171</c:v>
                </c:pt>
                <c:pt idx="14">
                  <c:v>213.11169952664335</c:v>
                </c:pt>
                <c:pt idx="15">
                  <c:v>206.45001791945498</c:v>
                </c:pt>
                <c:pt idx="16">
                  <c:v>199.78965410663804</c:v>
                </c:pt>
                <c:pt idx="17">
                  <c:v>193.13056984215211</c:v>
                </c:pt>
                <c:pt idx="18">
                  <c:v>186.47271890991877</c:v>
                </c:pt>
                <c:pt idx="19">
                  <c:v>179.81604777788684</c:v>
                </c:pt>
                <c:pt idx="20">
                  <c:v>173.16049555392104</c:v>
                </c:pt>
                <c:pt idx="21">
                  <c:v>166.50599471855202</c:v>
                </c:pt>
                <c:pt idx="22">
                  <c:v>159.85247118482096</c:v>
                </c:pt>
                <c:pt idx="23">
                  <c:v>153.19984508434757</c:v>
                </c:pt>
                <c:pt idx="24">
                  <c:v>146.54803093700164</c:v>
                </c:pt>
                <c:pt idx="25">
                  <c:v>139.89693846419001</c:v>
                </c:pt>
                <c:pt idx="26">
                  <c:v>133.2464728708332</c:v>
                </c:pt>
                <c:pt idx="27">
                  <c:v>126.59653565998903</c:v>
                </c:pt>
                <c:pt idx="28">
                  <c:v>119.94702502586227</c:v>
                </c:pt>
                <c:pt idx="29">
                  <c:v>113.29783664500491</c:v>
                </c:pt>
                <c:pt idx="30">
                  <c:v>106.64886417511451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58-408E-BE2A-FE84DF847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65440"/>
        <c:axId val="120779520"/>
      </c:scatterChart>
      <c:valAx>
        <c:axId val="12076544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779520"/>
        <c:crosses val="autoZero"/>
        <c:crossBetween val="midCat"/>
        <c:majorUnit val="2.5"/>
      </c:valAx>
      <c:valAx>
        <c:axId val="1207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[C]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765440"/>
        <c:crossesAt val="0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[1]Лист4!$E$14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Лист4!$F$13:$AJ$13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cat>
          <c:val>
            <c:numRef>
              <c:f>[1]Лист4!$F$14:$AI$14</c:f>
              <c:numCache>
                <c:formatCode>General</c:formatCode>
                <c:ptCount val="30"/>
                <c:pt idx="0">
                  <c:v>300</c:v>
                </c:pt>
                <c:pt idx="1">
                  <c:v>279.6777832932313</c:v>
                </c:pt>
                <c:pt idx="2">
                  <c:v>259.48548607371117</c:v>
                </c:pt>
                <c:pt idx="3">
                  <c:v>239.54946140546429</c:v>
                </c:pt>
                <c:pt idx="4">
                  <c:v>219.98905894143218</c:v>
                </c:pt>
                <c:pt idx="5">
                  <c:v>200.91344099667188</c:v>
                </c:pt>
                <c:pt idx="6">
                  <c:v>182.41876402461108</c:v>
                </c:pt>
                <c:pt idx="7">
                  <c:v>164.58582152611231</c:v>
                </c:pt>
                <c:pt idx="8">
                  <c:v>147.47822454739674</c:v>
                </c:pt>
                <c:pt idx="9">
                  <c:v>131.14117076713387</c:v>
                </c:pt>
                <c:pt idx="10">
                  <c:v>115.60083593371471</c:v>
                </c:pt>
                <c:pt idx="11">
                  <c:v>100.86436074974156</c:v>
                </c:pt>
                <c:pt idx="12">
                  <c:v>86.920533169111124</c:v>
                </c:pt>
                <c:pt idx="13">
                  <c:v>73.740577831419671</c:v>
                </c:pt>
                <c:pt idx="14">
                  <c:v>61.281348262421247</c:v>
                </c:pt>
                <c:pt idx="15">
                  <c:v>61.281348262421247</c:v>
                </c:pt>
                <c:pt idx="16">
                  <c:v>61.676382147765864</c:v>
                </c:pt>
                <c:pt idx="17">
                  <c:v>62.471134934715927</c:v>
                </c:pt>
                <c:pt idx="18">
                  <c:v>63.640355416038545</c:v>
                </c:pt>
                <c:pt idx="19">
                  <c:v>65.196844026661836</c:v>
                </c:pt>
                <c:pt idx="20">
                  <c:v>67.093205854708756</c:v>
                </c:pt>
                <c:pt idx="21">
                  <c:v>69.346816963593383</c:v>
                </c:pt>
                <c:pt idx="22">
                  <c:v>71.893891223225694</c:v>
                </c:pt>
                <c:pt idx="23">
                  <c:v>74.751190199943309</c:v>
                </c:pt>
                <c:pt idx="24">
                  <c:v>77.84608196473863</c:v>
                </c:pt>
                <c:pt idx="25">
                  <c:v>81.188812958994873</c:v>
                </c:pt>
                <c:pt idx="26">
                  <c:v>84.7061365548564</c:v>
                </c:pt>
                <c:pt idx="27">
                  <c:v>88.396260890317251</c:v>
                </c:pt>
                <c:pt idx="28">
                  <c:v>92.193053198489508</c:v>
                </c:pt>
                <c:pt idx="29">
                  <c:v>96.078591498293775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3-4D96-834D-89D9DB711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15528"/>
        <c:axId val="514016512"/>
      </c:lineChart>
      <c:catAx>
        <c:axId val="514015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4016512"/>
        <c:crosses val="autoZero"/>
        <c:auto val="1"/>
        <c:lblAlgn val="ctr"/>
        <c:lblOffset val="100"/>
        <c:tickLblSkip val="1"/>
        <c:noMultiLvlLbl val="0"/>
      </c:catAx>
      <c:valAx>
        <c:axId val="51401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4015528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14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1">
      <a:schemeClr val="lt1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>
  <cs:dataPoint3D>
    <cs:lnRef idx="1">
      <a:schemeClr val="lt1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1">
      <a:schemeClr val="dk1"/>
    </cs:effectRef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1">
      <a:schemeClr val="dk1"/>
    </cs:effectRef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44450</xdr:colOff>
      <xdr:row>20</xdr:row>
      <xdr:rowOff>9526</xdr:rowOff>
    </xdr:from>
    <xdr:to>
      <xdr:col>17</xdr:col>
      <xdr:colOff>158750</xdr:colOff>
      <xdr:row>35</xdr:row>
      <xdr:rowOff>17463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3175</xdr:colOff>
      <xdr:row>19</xdr:row>
      <xdr:rowOff>166687</xdr:rowOff>
    </xdr:from>
    <xdr:to>
      <xdr:col>30</xdr:col>
      <xdr:colOff>188913</xdr:colOff>
      <xdr:row>34</xdr:row>
      <xdr:rowOff>174624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19</xdr:row>
      <xdr:rowOff>174170</xdr:rowOff>
    </xdr:from>
    <xdr:to>
      <xdr:col>15</xdr:col>
      <xdr:colOff>370114</xdr:colOff>
      <xdr:row>41</xdr:row>
      <xdr:rowOff>130628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21</xdr:row>
      <xdr:rowOff>0</xdr:rowOff>
    </xdr:from>
    <xdr:to>
      <xdr:col>15</xdr:col>
      <xdr:colOff>152400</xdr:colOff>
      <xdr:row>35</xdr:row>
      <xdr:rowOff>135255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19</xdr:row>
      <xdr:rowOff>0</xdr:rowOff>
    </xdr:from>
    <xdr:to>
      <xdr:col>13</xdr:col>
      <xdr:colOff>579120</xdr:colOff>
      <xdr:row>34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70;&#1083;&#1080;&#1103;\Desktop\&#1052;&#1057;&#1057;\&#1052;&#1057;&#1057;%201%20&#1080;&#1089;&#1087;&#1088;,%20&#1044;&#1088;&#1091;&#1078;&#1082;&#1086;&#1074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 refreshError="1"/>
      <sheetData sheetId="1" refreshError="1"/>
      <sheetData sheetId="2">
        <row r="13">
          <cell r="E13" t="str">
            <v>L</v>
          </cell>
          <cell r="F13">
            <v>0</v>
          </cell>
          <cell r="G13">
            <v>0.433</v>
          </cell>
          <cell r="H13">
            <v>0.86599999999999999</v>
          </cell>
          <cell r="I13">
            <v>1.2989999999999999</v>
          </cell>
          <cell r="J13">
            <v>1.732</v>
          </cell>
          <cell r="K13">
            <v>2.165</v>
          </cell>
          <cell r="L13">
            <v>2.5979999999999999</v>
          </cell>
          <cell r="M13">
            <v>3.0309999999999997</v>
          </cell>
          <cell r="N13">
            <v>3.4639999999999995</v>
          </cell>
          <cell r="O13">
            <v>3.8969999999999994</v>
          </cell>
          <cell r="P13">
            <v>4.3299999999999992</v>
          </cell>
          <cell r="Q13">
            <v>4.762999999999999</v>
          </cell>
          <cell r="R13">
            <v>5.1959999999999988</v>
          </cell>
          <cell r="S13">
            <v>5.6289999999999987</v>
          </cell>
          <cell r="T13">
            <v>6.0619999999999985</v>
          </cell>
          <cell r="U13">
            <v>6.4949999999999983</v>
          </cell>
          <cell r="V13">
            <v>6.9279999999999982</v>
          </cell>
          <cell r="W13">
            <v>7.360999999999998</v>
          </cell>
          <cell r="X13">
            <v>7.7939999999999978</v>
          </cell>
          <cell r="Y13">
            <v>8.2269999999999985</v>
          </cell>
          <cell r="Z13">
            <v>8.6599999999999984</v>
          </cell>
          <cell r="AA13">
            <v>9.0929999999999982</v>
          </cell>
          <cell r="AB13">
            <v>9.525999999999998</v>
          </cell>
          <cell r="AC13">
            <v>9.9589999999999979</v>
          </cell>
          <cell r="AD13">
            <v>10.391999999999998</v>
          </cell>
          <cell r="AE13">
            <v>10.824999999999998</v>
          </cell>
          <cell r="AF13">
            <v>11.257999999999997</v>
          </cell>
          <cell r="AG13">
            <v>11.690999999999997</v>
          </cell>
          <cell r="AH13">
            <v>12.123999999999997</v>
          </cell>
          <cell r="AI13">
            <v>12.556999999999997</v>
          </cell>
        </row>
        <row r="14">
          <cell r="E14" t="str">
            <v>T</v>
          </cell>
          <cell r="F14">
            <v>299.8359383227513</v>
          </cell>
          <cell r="G14">
            <v>293.15738312874777</v>
          </cell>
          <cell r="H14">
            <v>286.47989821518399</v>
          </cell>
          <cell r="I14">
            <v>279.80354937767186</v>
          </cell>
          <cell r="J14">
            <v>273.12839553128856</v>
          </cell>
          <cell r="K14">
            <v>266.45448827270877</v>
          </cell>
          <cell r="L14">
            <v>259.78187168411955</v>
          </cell>
          <cell r="M14">
            <v>253.11058191036571</v>
          </cell>
          <cell r="N14">
            <v>246.44064712898484</v>
          </cell>
          <cell r="O14">
            <v>239.77208715586931</v>
          </cell>
          <cell r="P14">
            <v>233.10491357818461</v>
          </cell>
          <cell r="Q14">
            <v>226.43912940278241</v>
          </cell>
          <cell r="R14">
            <v>219.77472934348171</v>
          </cell>
          <cell r="S14">
            <v>213.11169952664335</v>
          </cell>
          <cell r="T14">
            <v>206.45001791945498</v>
          </cell>
          <cell r="U14">
            <v>199.78965410663804</v>
          </cell>
          <cell r="V14">
            <v>193.13056984215211</v>
          </cell>
          <cell r="W14">
            <v>186.47271890991877</v>
          </cell>
          <cell r="X14">
            <v>179.81604777788684</v>
          </cell>
          <cell r="Y14">
            <v>173.16049555392104</v>
          </cell>
          <cell r="Z14">
            <v>166.50599471855202</v>
          </cell>
          <cell r="AA14">
            <v>159.85247118482096</v>
          </cell>
          <cell r="AB14">
            <v>153.19984508434757</v>
          </cell>
          <cell r="AC14">
            <v>146.54803093700164</v>
          </cell>
          <cell r="AD14">
            <v>139.89693846419001</v>
          </cell>
          <cell r="AE14">
            <v>133.2464728708332</v>
          </cell>
          <cell r="AF14">
            <v>126.59653565998903</v>
          </cell>
          <cell r="AG14">
            <v>119.94702502586227</v>
          </cell>
          <cell r="AH14">
            <v>113.29783664500491</v>
          </cell>
          <cell r="AI14">
            <v>106.64886417511451</v>
          </cell>
        </row>
      </sheetData>
      <sheetData sheetId="3">
        <row r="13">
          <cell r="F13">
            <v>0</v>
          </cell>
          <cell r="G13">
            <v>3.3333333333333335E-3</v>
          </cell>
          <cell r="H13">
            <v>6.6666666666666671E-3</v>
          </cell>
          <cell r="I13">
            <v>0.01</v>
          </cell>
          <cell r="J13">
            <v>1.3333333333333334E-2</v>
          </cell>
          <cell r="K13">
            <v>1.6666666666666666E-2</v>
          </cell>
          <cell r="L13">
            <v>0.02</v>
          </cell>
          <cell r="M13">
            <v>2.3333333333333334E-2</v>
          </cell>
          <cell r="N13">
            <v>2.6666666666666668E-2</v>
          </cell>
          <cell r="O13">
            <v>3.0000000000000002E-2</v>
          </cell>
          <cell r="P13">
            <v>3.3333333333333333E-2</v>
          </cell>
          <cell r="Q13">
            <v>3.6666666666666667E-2</v>
          </cell>
          <cell r="R13">
            <v>0.04</v>
          </cell>
          <cell r="S13">
            <v>4.3333333333333335E-2</v>
          </cell>
          <cell r="T13">
            <v>4.6666666666666669E-2</v>
          </cell>
          <cell r="U13">
            <v>0.05</v>
          </cell>
          <cell r="V13">
            <v>5.3333333333333337E-2</v>
          </cell>
          <cell r="W13">
            <v>5.6666666666666671E-2</v>
          </cell>
          <cell r="X13">
            <v>6.0000000000000005E-2</v>
          </cell>
          <cell r="Y13">
            <v>6.3333333333333339E-2</v>
          </cell>
          <cell r="Z13">
            <v>6.6666666666666666E-2</v>
          </cell>
          <cell r="AA13">
            <v>6.9999999999999993E-2</v>
          </cell>
          <cell r="AB13">
            <v>7.333333333333332E-2</v>
          </cell>
          <cell r="AC13">
            <v>7.6666666666666647E-2</v>
          </cell>
          <cell r="AD13">
            <v>7.9999999999999974E-2</v>
          </cell>
          <cell r="AE13">
            <v>8.3333333333333301E-2</v>
          </cell>
          <cell r="AF13">
            <v>8.6666666666666628E-2</v>
          </cell>
          <cell r="AG13">
            <v>8.9999999999999955E-2</v>
          </cell>
          <cell r="AH13">
            <v>9.3333333333333282E-2</v>
          </cell>
          <cell r="AI13">
            <v>9.6666666666666609E-2</v>
          </cell>
          <cell r="AJ13">
            <v>9.9999999999999936E-2</v>
          </cell>
        </row>
        <row r="14">
          <cell r="E14" t="str">
            <v>T</v>
          </cell>
          <cell r="F14">
            <v>300</v>
          </cell>
          <cell r="G14">
            <v>279.6777832932313</v>
          </cell>
          <cell r="H14">
            <v>259.48548607371117</v>
          </cell>
          <cell r="I14">
            <v>239.54946140546429</v>
          </cell>
          <cell r="J14">
            <v>219.98905894143218</v>
          </cell>
          <cell r="K14">
            <v>200.91344099667188</v>
          </cell>
          <cell r="L14">
            <v>182.41876402461108</v>
          </cell>
          <cell r="M14">
            <v>164.58582152611231</v>
          </cell>
          <cell r="N14">
            <v>147.47822454739674</v>
          </cell>
          <cell r="O14">
            <v>131.14117076713387</v>
          </cell>
          <cell r="P14">
            <v>115.60083593371471</v>
          </cell>
          <cell r="Q14">
            <v>100.86436074974156</v>
          </cell>
          <cell r="R14">
            <v>86.920533169111124</v>
          </cell>
          <cell r="S14">
            <v>73.740577831419671</v>
          </cell>
          <cell r="T14">
            <v>61.281348262421247</v>
          </cell>
          <cell r="U14">
            <v>61.281348262421247</v>
          </cell>
          <cell r="V14">
            <v>61.676382147765864</v>
          </cell>
          <cell r="W14">
            <v>62.471134934715927</v>
          </cell>
          <cell r="X14">
            <v>63.640355416038545</v>
          </cell>
          <cell r="Y14">
            <v>65.196844026661836</v>
          </cell>
          <cell r="Z14">
            <v>67.093205854708756</v>
          </cell>
          <cell r="AA14">
            <v>69.346816963593383</v>
          </cell>
          <cell r="AB14">
            <v>71.893891223225694</v>
          </cell>
          <cell r="AC14">
            <v>74.751190199943309</v>
          </cell>
          <cell r="AD14">
            <v>77.84608196473863</v>
          </cell>
          <cell r="AE14">
            <v>81.188812958994873</v>
          </cell>
          <cell r="AF14">
            <v>84.7061365548564</v>
          </cell>
          <cell r="AG14">
            <v>88.396260890317251</v>
          </cell>
          <cell r="AH14">
            <v>92.193053198489508</v>
          </cell>
          <cell r="AI14">
            <v>96.078591498293775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8"/>
  <sheetViews>
    <sheetView topLeftCell="A2" zoomScale="80" zoomScaleNormal="80" workbookViewId="0">
      <selection activeCell="AK24" sqref="AK24"/>
    </sheetView>
  </sheetViews>
  <sheetFormatPr defaultRowHeight="14.4" x14ac:dyDescent="0.3"/>
  <cols>
    <col min="6" max="6" width="6.77734375" bestFit="1" customWidth="1"/>
    <col min="7" max="7" width="7" customWidth="1"/>
    <col min="8" max="15" width="5.77734375" bestFit="1" customWidth="1"/>
    <col min="16" max="16" width="4.77734375" bestFit="1" customWidth="1"/>
    <col min="17" max="25" width="5.77734375" bestFit="1" customWidth="1"/>
    <col min="26" max="26" width="4.77734375" bestFit="1" customWidth="1"/>
    <col min="27" max="35" width="5.77734375" bestFit="1" customWidth="1"/>
    <col min="36" max="36" width="4.77734375" bestFit="1" customWidth="1"/>
  </cols>
  <sheetData>
    <row r="3" spans="2:36" x14ac:dyDescent="0.3">
      <c r="B3" s="7" t="s">
        <v>0</v>
      </c>
      <c r="C3" s="7">
        <v>0.1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</row>
    <row r="4" spans="2:36" x14ac:dyDescent="0.3">
      <c r="B4" s="7" t="s">
        <v>1</v>
      </c>
      <c r="C4" s="7">
        <f>C3/30</f>
        <v>3.3333333333333335E-3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</row>
    <row r="5" spans="2:36" x14ac:dyDescent="0.3">
      <c r="B5" s="7" t="s">
        <v>2</v>
      </c>
      <c r="C5" s="7">
        <v>0.433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</row>
    <row r="6" spans="2:36" x14ac:dyDescent="0.3">
      <c r="B6" s="7" t="s">
        <v>3</v>
      </c>
      <c r="C6" s="7">
        <v>60</v>
      </c>
      <c r="D6" s="8">
        <v>60.186999999999998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</row>
    <row r="7" spans="2:36" x14ac:dyDescent="0.3">
      <c r="B7" s="7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</row>
    <row r="8" spans="2:36" x14ac:dyDescent="0.3">
      <c r="B8" s="7" t="s">
        <v>4</v>
      </c>
      <c r="C8" s="7">
        <v>460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</row>
    <row r="9" spans="2:36" x14ac:dyDescent="0.3">
      <c r="B9" s="7" t="s">
        <v>5</v>
      </c>
      <c r="C9" s="7">
        <v>7800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2:36" x14ac:dyDescent="0.3">
      <c r="B10" s="7" t="s">
        <v>6</v>
      </c>
      <c r="C10" s="7">
        <v>46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</row>
    <row r="11" spans="2:36" x14ac:dyDescent="0.3">
      <c r="B11" s="7"/>
      <c r="C11" s="7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</row>
    <row r="12" spans="2:36" x14ac:dyDescent="0.3">
      <c r="B12" s="7"/>
      <c r="C12" s="7"/>
      <c r="D12" s="8"/>
      <c r="E12" s="7"/>
      <c r="F12" s="7">
        <v>1</v>
      </c>
      <c r="G12" s="7">
        <v>2</v>
      </c>
      <c r="H12" s="7">
        <v>3</v>
      </c>
      <c r="I12" s="7">
        <v>4</v>
      </c>
      <c r="J12" s="7">
        <v>5</v>
      </c>
      <c r="K12" s="7">
        <v>6</v>
      </c>
      <c r="L12" s="7">
        <v>7</v>
      </c>
      <c r="M12" s="7">
        <v>8</v>
      </c>
      <c r="N12" s="7">
        <v>9</v>
      </c>
      <c r="O12" s="7">
        <v>10</v>
      </c>
      <c r="P12" s="7">
        <v>11</v>
      </c>
      <c r="Q12" s="7">
        <v>12</v>
      </c>
      <c r="R12" s="7">
        <v>13</v>
      </c>
      <c r="S12" s="7">
        <v>14</v>
      </c>
      <c r="T12" s="7">
        <v>15</v>
      </c>
      <c r="U12" s="7">
        <v>16</v>
      </c>
      <c r="V12" s="7">
        <v>17</v>
      </c>
      <c r="W12" s="7">
        <v>18</v>
      </c>
      <c r="X12" s="7">
        <v>19</v>
      </c>
      <c r="Y12" s="7">
        <v>20</v>
      </c>
      <c r="Z12" s="7">
        <v>21</v>
      </c>
      <c r="AA12" s="7">
        <v>22</v>
      </c>
      <c r="AB12" s="7">
        <v>23</v>
      </c>
      <c r="AC12" s="7">
        <v>24</v>
      </c>
      <c r="AD12" s="7">
        <v>25</v>
      </c>
      <c r="AE12" s="7">
        <v>26</v>
      </c>
      <c r="AF12" s="7">
        <v>27</v>
      </c>
      <c r="AG12" s="7">
        <v>28</v>
      </c>
      <c r="AH12" s="7">
        <v>29</v>
      </c>
      <c r="AI12" s="7">
        <v>30</v>
      </c>
      <c r="AJ12" s="7">
        <v>31</v>
      </c>
    </row>
    <row r="13" spans="2:36" x14ac:dyDescent="0.3">
      <c r="B13" s="7" t="s">
        <v>8</v>
      </c>
      <c r="C13" s="7">
        <v>300</v>
      </c>
      <c r="D13" s="8"/>
      <c r="E13" s="7" t="s">
        <v>0</v>
      </c>
      <c r="F13" s="9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9">
        <f t="shared" si="0"/>
        <v>9.9999999999999936E-2</v>
      </c>
    </row>
    <row r="14" spans="2:36" x14ac:dyDescent="0.3">
      <c r="B14" s="7" t="s">
        <v>9</v>
      </c>
      <c r="C14" s="7">
        <v>100</v>
      </c>
      <c r="D14" s="8"/>
      <c r="E14" s="7" t="s">
        <v>7</v>
      </c>
      <c r="F14" s="7">
        <v>300</v>
      </c>
      <c r="G14" s="7">
        <v>280.3451356906275</v>
      </c>
      <c r="H14" s="7">
        <v>260.98550140677543</v>
      </c>
      <c r="I14" s="7">
        <v>241.68925448971564</v>
      </c>
      <c r="J14" s="7">
        <v>223.25830143373341</v>
      </c>
      <c r="K14" s="7">
        <v>204.94974418109416</v>
      </c>
      <c r="L14" s="7">
        <v>188.01783618323876</v>
      </c>
      <c r="M14" s="7">
        <v>171.25910700372717</v>
      </c>
      <c r="N14" s="7">
        <v>156.29830625258549</v>
      </c>
      <c r="O14" s="7">
        <v>141.55035379302507</v>
      </c>
      <c r="P14" s="7">
        <v>128.91021776688675</v>
      </c>
      <c r="Q14" s="7">
        <v>116.50979760314505</v>
      </c>
      <c r="R14" s="7">
        <v>106.40567709089358</v>
      </c>
      <c r="S14" s="7">
        <v>96.55487619169071</v>
      </c>
      <c r="T14" s="7">
        <v>89.068092766976434</v>
      </c>
      <c r="U14" s="7">
        <v>81.835567611964265</v>
      </c>
      <c r="V14" s="7">
        <v>76.923159498966456</v>
      </c>
      <c r="W14" s="7">
        <v>72.25464791067192</v>
      </c>
      <c r="X14" s="7">
        <v>69.765430738472972</v>
      </c>
      <c r="Y14" s="7">
        <v>67.50023812873907</v>
      </c>
      <c r="Z14" s="7">
        <v>67.193816703717232</v>
      </c>
      <c r="AA14" s="7">
        <v>67.083944762128951</v>
      </c>
      <c r="AB14" s="7">
        <v>68.649886812201174</v>
      </c>
      <c r="AC14" s="7">
        <v>70.379100206678658</v>
      </c>
      <c r="AD14" s="7">
        <v>73.454444848712399</v>
      </c>
      <c r="AE14" s="7">
        <v>76.655552354286499</v>
      </c>
      <c r="AF14" s="7">
        <v>80.839843367225896</v>
      </c>
      <c r="AG14" s="7">
        <v>85.109475973702843</v>
      </c>
      <c r="AH14" s="7">
        <v>89.977328318826025</v>
      </c>
      <c r="AI14" s="7">
        <v>94.888286134147862</v>
      </c>
      <c r="AJ14" s="7">
        <f>C14</f>
        <v>100</v>
      </c>
    </row>
    <row r="15" spans="2:36" x14ac:dyDescent="0.3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</row>
    <row r="16" spans="2:36" x14ac:dyDescent="0.3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</row>
    <row r="17" spans="2:36" x14ac:dyDescent="0.3">
      <c r="B17" s="8"/>
      <c r="C17" s="8"/>
      <c r="D17" s="8"/>
      <c r="E17" s="7" t="s">
        <v>10</v>
      </c>
      <c r="F17" s="7"/>
      <c r="G17" s="4">
        <f>G14+(($C$10*$C$5)/($C$9*$C$8))*((H14-2*G14+F14)/($C$4^2))</f>
        <v>280.49263715337787</v>
      </c>
      <c r="H17" s="4">
        <f t="shared" ref="H17:AI17" si="1">H14+(($C$10*$C$5)/($C$9*$C$8))*((I14-2*H14+G14)/($C$4^2))</f>
        <v>261.01717071041509</v>
      </c>
      <c r="I17" s="4">
        <f t="shared" si="1"/>
        <v>242.12156861492321</v>
      </c>
      <c r="J17" s="4">
        <f t="shared" si="1"/>
        <v>223.31945226009591</v>
      </c>
      <c r="K17" s="4">
        <f t="shared" si="1"/>
        <v>205.63753932800347</v>
      </c>
      <c r="L17" s="4">
        <f t="shared" si="1"/>
        <v>188.10435898517284</v>
      </c>
      <c r="M17" s="4">
        <f t="shared" si="1"/>
        <v>172.15737970697813</v>
      </c>
      <c r="N17" s="4">
        <f t="shared" si="1"/>
        <v>156.40464853364858</v>
      </c>
      <c r="O17" s="4">
        <f t="shared" si="1"/>
        <v>142.60345131110788</v>
      </c>
      <c r="P17" s="4">
        <f t="shared" si="1"/>
        <v>129.02998349967643</v>
      </c>
      <c r="Q17" s="4">
        <f t="shared" si="1"/>
        <v>117.65706423671651</v>
      </c>
      <c r="R17" s="4">
        <f t="shared" si="1"/>
        <v>106.53223946679748</v>
      </c>
      <c r="S17" s="4">
        <f t="shared" si="1"/>
        <v>97.735975691444821</v>
      </c>
      <c r="T17" s="4">
        <f t="shared" si="1"/>
        <v>89.19512411018529</v>
      </c>
      <c r="U17" s="4">
        <f t="shared" si="1"/>
        <v>82.994733780262976</v>
      </c>
      <c r="V17" s="4">
        <f t="shared" si="1"/>
        <v>77.045013954962442</v>
      </c>
      <c r="W17" s="4">
        <f t="shared" si="1"/>
        <v>73.343456928559675</v>
      </c>
      <c r="X17" s="4">
        <f t="shared" si="1"/>
        <v>69.877356856412234</v>
      </c>
      <c r="Y17" s="4">
        <f t="shared" si="1"/>
        <v>68.47887034756252</v>
      </c>
      <c r="Z17" s="4">
        <f t="shared" si="1"/>
        <v>67.292015849478844</v>
      </c>
      <c r="AA17" s="4">
        <f t="shared" si="1"/>
        <v>67.921207214116251</v>
      </c>
      <c r="AB17" s="4">
        <f t="shared" si="1"/>
        <v>68.73145968773288</v>
      </c>
      <c r="AC17" s="4">
        <f t="shared" si="1"/>
        <v>71.051648087669264</v>
      </c>
      <c r="AD17" s="4">
        <f t="shared" si="1"/>
        <v>73.51727791015044</v>
      </c>
      <c r="AE17" s="4">
        <f t="shared" si="1"/>
        <v>77.146765960466311</v>
      </c>
      <c r="AF17" s="4">
        <f t="shared" si="1"/>
        <v>80.882481340304849</v>
      </c>
      <c r="AG17" s="4">
        <f t="shared" si="1"/>
        <v>85.408355758511092</v>
      </c>
      <c r="AH17" s="4">
        <f t="shared" si="1"/>
        <v>89.998864474898355</v>
      </c>
      <c r="AI17" s="4">
        <f t="shared" si="1"/>
        <v>94.988586945547425</v>
      </c>
      <c r="AJ17" s="7"/>
    </row>
    <row r="18" spans="2:36" x14ac:dyDescent="0.3">
      <c r="B18">
        <f>(C9*C8*C4^2)/(2*C10)</f>
        <v>0.4333333333333334</v>
      </c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8"/>
  <sheetViews>
    <sheetView zoomScale="70" zoomScaleNormal="70" workbookViewId="0">
      <selection activeCell="T34" sqref="T34"/>
    </sheetView>
  </sheetViews>
  <sheetFormatPr defaultRowHeight="14.4" x14ac:dyDescent="0.3"/>
  <cols>
    <col min="5" max="36" width="8.109375" customWidth="1"/>
  </cols>
  <sheetData>
    <row r="3" spans="2:36" x14ac:dyDescent="0.3">
      <c r="B3" s="7" t="s">
        <v>0</v>
      </c>
      <c r="C3" s="7">
        <v>0.1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</row>
    <row r="4" spans="2:36" x14ac:dyDescent="0.3">
      <c r="B4" s="7" t="s">
        <v>1</v>
      </c>
      <c r="C4" s="7">
        <f>C3/30</f>
        <v>3.3333333333333335E-3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</row>
    <row r="5" spans="2:36" x14ac:dyDescent="0.3">
      <c r="B5" s="7" t="s">
        <v>2</v>
      </c>
      <c r="C5" s="7">
        <v>0.433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</row>
    <row r="6" spans="2:36" x14ac:dyDescent="0.3">
      <c r="B6" s="7" t="s">
        <v>3</v>
      </c>
      <c r="C6" s="7">
        <v>5000</v>
      </c>
      <c r="D6" s="8">
        <v>5000.2839999999997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</row>
    <row r="7" spans="2:36" x14ac:dyDescent="0.3">
      <c r="B7" s="7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</row>
    <row r="8" spans="2:36" x14ac:dyDescent="0.3">
      <c r="B8" s="7" t="s">
        <v>4</v>
      </c>
      <c r="C8" s="7">
        <v>460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</row>
    <row r="9" spans="2:36" x14ac:dyDescent="0.3">
      <c r="B9" s="7" t="s">
        <v>5</v>
      </c>
      <c r="C9" s="7">
        <v>7800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2:36" x14ac:dyDescent="0.3">
      <c r="B10" s="7" t="s">
        <v>6</v>
      </c>
      <c r="C10" s="7">
        <v>46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</row>
    <row r="11" spans="2:36" x14ac:dyDescent="0.3">
      <c r="B11" s="7"/>
      <c r="C11" s="7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</row>
    <row r="12" spans="2:36" x14ac:dyDescent="0.3">
      <c r="B12" s="7"/>
      <c r="C12" s="7"/>
      <c r="D12" s="8"/>
      <c r="E12" s="7"/>
      <c r="F12" s="7">
        <v>1</v>
      </c>
      <c r="G12" s="7">
        <v>2</v>
      </c>
      <c r="H12" s="7">
        <v>3</v>
      </c>
      <c r="I12" s="7">
        <v>4</v>
      </c>
      <c r="J12" s="7">
        <v>5</v>
      </c>
      <c r="K12" s="7">
        <v>6</v>
      </c>
      <c r="L12" s="7">
        <v>7</v>
      </c>
      <c r="M12" s="7">
        <v>8</v>
      </c>
      <c r="N12" s="7">
        <v>9</v>
      </c>
      <c r="O12" s="7">
        <v>10</v>
      </c>
      <c r="P12" s="7">
        <v>11</v>
      </c>
      <c r="Q12" s="7">
        <v>12</v>
      </c>
      <c r="R12" s="7">
        <v>13</v>
      </c>
      <c r="S12" s="7">
        <v>14</v>
      </c>
      <c r="T12" s="7">
        <v>15</v>
      </c>
      <c r="U12" s="7">
        <v>16</v>
      </c>
      <c r="V12" s="7">
        <v>17</v>
      </c>
      <c r="W12" s="7">
        <v>18</v>
      </c>
      <c r="X12" s="7">
        <v>19</v>
      </c>
      <c r="Y12" s="7">
        <v>20</v>
      </c>
      <c r="Z12" s="7">
        <v>21</v>
      </c>
      <c r="AA12" s="7">
        <v>22</v>
      </c>
      <c r="AB12" s="7">
        <v>23</v>
      </c>
      <c r="AC12" s="7">
        <v>24</v>
      </c>
      <c r="AD12" s="7">
        <v>25</v>
      </c>
      <c r="AE12" s="7">
        <v>26</v>
      </c>
      <c r="AF12" s="7">
        <v>27</v>
      </c>
      <c r="AG12" s="7">
        <v>28</v>
      </c>
      <c r="AH12" s="7">
        <v>29</v>
      </c>
      <c r="AI12" s="7">
        <v>30</v>
      </c>
      <c r="AJ12" s="7">
        <v>31</v>
      </c>
    </row>
    <row r="13" spans="2:36" x14ac:dyDescent="0.3">
      <c r="B13" s="7" t="s">
        <v>11</v>
      </c>
      <c r="C13" s="7">
        <v>92000</v>
      </c>
      <c r="D13" s="8"/>
      <c r="E13" s="7" t="s">
        <v>0</v>
      </c>
      <c r="F13" s="9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9">
        <f t="shared" si="0"/>
        <v>12.989999999999997</v>
      </c>
    </row>
    <row r="14" spans="2:36" x14ac:dyDescent="0.3">
      <c r="B14" s="7" t="s">
        <v>9</v>
      </c>
      <c r="C14" s="7">
        <v>100</v>
      </c>
      <c r="D14" s="8"/>
      <c r="E14" s="7" t="s">
        <v>7</v>
      </c>
      <c r="F14" s="7">
        <f>(F18/C10)*C4+G14</f>
        <v>299.99997763459675</v>
      </c>
      <c r="G14" s="7">
        <v>293.33331096793006</v>
      </c>
      <c r="H14" s="7">
        <v>286.66664436466061</v>
      </c>
      <c r="I14" s="7">
        <v>279.99997782460849</v>
      </c>
      <c r="J14" s="7">
        <v>273.33331134741508</v>
      </c>
      <c r="K14" s="7">
        <v>266.66664493254297</v>
      </c>
      <c r="L14" s="7">
        <v>259.99997857927877</v>
      </c>
      <c r="M14" s="7">
        <v>253.33331228673376</v>
      </c>
      <c r="N14" s="7">
        <v>246.66664605384776</v>
      </c>
      <c r="O14" s="7">
        <v>239.99997987939091</v>
      </c>
      <c r="P14" s="7">
        <v>233.33331376196827</v>
      </c>
      <c r="Q14" s="7">
        <v>226.66664770002262</v>
      </c>
      <c r="R14" s="7">
        <v>219.99998169184016</v>
      </c>
      <c r="S14" s="7">
        <v>213.33331573555401</v>
      </c>
      <c r="T14" s="7">
        <v>206.66664982915083</v>
      </c>
      <c r="U14" s="7">
        <v>199.99998397047526</v>
      </c>
      <c r="V14" s="7">
        <v>193.33331815723727</v>
      </c>
      <c r="W14" s="7">
        <v>186.66665238701742</v>
      </c>
      <c r="X14" s="7">
        <v>179.99998665727495</v>
      </c>
      <c r="Y14" s="7">
        <v>173.33332096535372</v>
      </c>
      <c r="Z14" s="7">
        <v>166.66665530849104</v>
      </c>
      <c r="AA14" s="7">
        <v>159.9999896838242</v>
      </c>
      <c r="AB14" s="7">
        <v>153.33332408839982</v>
      </c>
      <c r="AC14" s="7">
        <v>146.66665851918108</v>
      </c>
      <c r="AD14" s="7">
        <v>139.99999297305737</v>
      </c>
      <c r="AE14" s="7">
        <v>133.33332744685219</v>
      </c>
      <c r="AF14" s="7">
        <v>126.666661937333</v>
      </c>
      <c r="AG14" s="7">
        <v>119.99999644121954</v>
      </c>
      <c r="AH14" s="7">
        <v>113.33333095519386</v>
      </c>
      <c r="AI14" s="7">
        <v>106.66666547590927</v>
      </c>
      <c r="AJ14" s="7">
        <v>100</v>
      </c>
    </row>
    <row r="15" spans="2:36" x14ac:dyDescent="0.3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</row>
    <row r="16" spans="2:36" x14ac:dyDescent="0.3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</row>
    <row r="17" spans="2:36" x14ac:dyDescent="0.3">
      <c r="B17" s="8"/>
      <c r="C17" s="8"/>
      <c r="D17" s="8"/>
      <c r="E17" s="7" t="s">
        <v>10</v>
      </c>
      <c r="F17" s="7"/>
      <c r="G17" s="4">
        <f>G14+(($C$10*$C$5)/($C$9*$C$8))*((H14-2*G14+F14)/($C$4^2))</f>
        <v>293.33331099960429</v>
      </c>
      <c r="H17" s="4">
        <f t="shared" ref="H17:AI17" si="1">H14+(($C$10*$C$5)/($C$9*$C$8))*((I14-2*H14+G14)/($C$4^2))</f>
        <v>286.66664439624498</v>
      </c>
      <c r="I17" s="4">
        <f t="shared" si="1"/>
        <v>279.99997785601369</v>
      </c>
      <c r="J17" s="4">
        <f t="shared" si="1"/>
        <v>273.33331137855174</v>
      </c>
      <c r="K17" s="4">
        <f t="shared" si="1"/>
        <v>266.66664496332322</v>
      </c>
      <c r="L17" s="4">
        <f t="shared" si="1"/>
        <v>259.99997860961503</v>
      </c>
      <c r="M17" s="4">
        <f t="shared" si="1"/>
        <v>253.33331231654034</v>
      </c>
      <c r="N17" s="4">
        <f t="shared" si="1"/>
        <v>246.66664608303986</v>
      </c>
      <c r="O17" s="4">
        <f t="shared" si="1"/>
        <v>239.99997990788609</v>
      </c>
      <c r="P17" s="4">
        <f t="shared" si="1"/>
        <v>233.33331378968543</v>
      </c>
      <c r="Q17" s="4">
        <f t="shared" si="1"/>
        <v>226.66664772688353</v>
      </c>
      <c r="R17" s="4">
        <f t="shared" si="1"/>
        <v>219.99998171776835</v>
      </c>
      <c r="S17" s="4">
        <f t="shared" si="1"/>
        <v>213.3333157604763</v>
      </c>
      <c r="T17" s="4">
        <f t="shared" si="1"/>
        <v>206.66664985299627</v>
      </c>
      <c r="U17" s="4">
        <f t="shared" si="1"/>
        <v>199.99998399317658</v>
      </c>
      <c r="V17" s="4">
        <f t="shared" si="1"/>
        <v>193.3333181787298</v>
      </c>
      <c r="W17" s="4">
        <f t="shared" si="1"/>
        <v>186.66665240724055</v>
      </c>
      <c r="X17" s="4">
        <f t="shared" si="1"/>
        <v>179.99998667617103</v>
      </c>
      <c r="Y17" s="4">
        <f t="shared" si="1"/>
        <v>173.33332098286951</v>
      </c>
      <c r="Z17" s="4">
        <f t="shared" si="1"/>
        <v>166.66665532457657</v>
      </c>
      <c r="AA17" s="4">
        <f t="shared" si="1"/>
        <v>159.99998969843418</v>
      </c>
      <c r="AB17" s="4">
        <f t="shared" si="1"/>
        <v>153.33332410149256</v>
      </c>
      <c r="AC17" s="4">
        <f t="shared" si="1"/>
        <v>146.6666585307197</v>
      </c>
      <c r="AD17" s="4">
        <f t="shared" si="1"/>
        <v>139.99999298300898</v>
      </c>
      <c r="AE17" s="4">
        <f t="shared" si="1"/>
        <v>133.33332745518877</v>
      </c>
      <c r="AF17" s="4">
        <f t="shared" si="1"/>
        <v>126.66666194403071</v>
      </c>
      <c r="AG17" s="4">
        <f t="shared" si="1"/>
        <v>119.99999644625954</v>
      </c>
      <c r="AH17" s="4">
        <f t="shared" si="1"/>
        <v>113.33333095856182</v>
      </c>
      <c r="AI17" s="4">
        <f t="shared" si="1"/>
        <v>106.66666547759563</v>
      </c>
      <c r="AJ17" s="7"/>
    </row>
    <row r="18" spans="2:36" x14ac:dyDescent="0.3">
      <c r="B18" s="8">
        <f>(C9*C8*C4^2)/(2*C10)</f>
        <v>0.4333333333333334</v>
      </c>
      <c r="C18" s="8"/>
      <c r="D18" s="8"/>
      <c r="E18" s="10" t="s">
        <v>12</v>
      </c>
      <c r="F18" s="7">
        <f>C13</f>
        <v>92000</v>
      </c>
      <c r="G18" s="7">
        <f t="shared" ref="G18:AI18" si="2">-$C$10*((G14-F14))/$C$4</f>
        <v>92000.000000000262</v>
      </c>
      <c r="H18" s="7">
        <f t="shared" si="2"/>
        <v>91999.999125118382</v>
      </c>
      <c r="I18" s="7">
        <f t="shared" si="2"/>
        <v>91999.998252719248</v>
      </c>
      <c r="J18" s="7">
        <f t="shared" si="2"/>
        <v>91999.997385269147</v>
      </c>
      <c r="K18" s="7">
        <f t="shared" si="2"/>
        <v>91999.996525235125</v>
      </c>
      <c r="L18" s="7">
        <f t="shared" si="2"/>
        <v>91999.995675045822</v>
      </c>
      <c r="M18" s="7">
        <f t="shared" si="2"/>
        <v>91999.994837121223</v>
      </c>
      <c r="N18" s="7">
        <f t="shared" si="2"/>
        <v>91999.994013826814</v>
      </c>
      <c r="O18" s="7">
        <f t="shared" si="2"/>
        <v>91999.993207504522</v>
      </c>
      <c r="P18" s="7">
        <f t="shared" si="2"/>
        <v>91999.992420432376</v>
      </c>
      <c r="Q18" s="7">
        <f t="shared" si="2"/>
        <v>91999.991654849931</v>
      </c>
      <c r="R18" s="7">
        <f t="shared" si="2"/>
        <v>91999.990912917943</v>
      </c>
      <c r="S18" s="7">
        <f t="shared" si="2"/>
        <v>91999.990196748899</v>
      </c>
      <c r="T18" s="7">
        <f t="shared" si="2"/>
        <v>91999.989508363898</v>
      </c>
      <c r="U18" s="7">
        <f t="shared" si="2"/>
        <v>91999.988849722882</v>
      </c>
      <c r="V18" s="7">
        <f t="shared" si="2"/>
        <v>91999.988222684173</v>
      </c>
      <c r="W18" s="7">
        <f t="shared" si="2"/>
        <v>91999.987629033931</v>
      </c>
      <c r="X18" s="7">
        <f t="shared" si="2"/>
        <v>91999.987070446165</v>
      </c>
      <c r="Y18" s="7">
        <f t="shared" si="2"/>
        <v>91999.986548512898</v>
      </c>
      <c r="Z18" s="7">
        <f t="shared" si="2"/>
        <v>91999.986064704921</v>
      </c>
      <c r="AA18" s="7">
        <f t="shared" si="2"/>
        <v>91999.985620402498</v>
      </c>
      <c r="AB18" s="7">
        <f t="shared" si="2"/>
        <v>91999.985216856396</v>
      </c>
      <c r="AC18" s="7">
        <f t="shared" si="2"/>
        <v>91999.984855218558</v>
      </c>
      <c r="AD18" s="7">
        <f t="shared" si="2"/>
        <v>91999.984536507196</v>
      </c>
      <c r="AE18" s="7">
        <f t="shared" si="2"/>
        <v>91999.984261631471</v>
      </c>
      <c r="AF18" s="7">
        <f t="shared" si="2"/>
        <v>91999.984031364831</v>
      </c>
      <c r="AG18" s="7">
        <f t="shared" si="2"/>
        <v>91999.983846365838</v>
      </c>
      <c r="AH18" s="7">
        <f t="shared" si="2"/>
        <v>91999.983707154344</v>
      </c>
      <c r="AI18" s="7">
        <f t="shared" si="2"/>
        <v>91999.983614127326</v>
      </c>
      <c r="AJ18" s="7"/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45"/>
  <sheetViews>
    <sheetView zoomScale="80" zoomScaleNormal="80" workbookViewId="0">
      <selection activeCell="Z26" sqref="Z26"/>
    </sheetView>
  </sheetViews>
  <sheetFormatPr defaultRowHeight="14.4" x14ac:dyDescent="0.3"/>
  <cols>
    <col min="5" max="36" width="6.44140625" customWidth="1"/>
  </cols>
  <sheetData>
    <row r="1" spans="1:37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</row>
    <row r="3" spans="1:37" x14ac:dyDescent="0.3">
      <c r="A3" s="6"/>
      <c r="B3" s="1" t="s">
        <v>0</v>
      </c>
      <c r="C3" s="1">
        <v>0.1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</row>
    <row r="4" spans="1:37" x14ac:dyDescent="0.3">
      <c r="A4" s="6"/>
      <c r="B4" s="1" t="s">
        <v>1</v>
      </c>
      <c r="C4" s="1">
        <f>C3/30</f>
        <v>3.3333333333333335E-3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</row>
    <row r="5" spans="1:37" x14ac:dyDescent="0.3">
      <c r="A5" s="6"/>
      <c r="B5" s="1" t="s">
        <v>2</v>
      </c>
      <c r="C5" s="1">
        <v>0.433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</row>
    <row r="6" spans="1:37" x14ac:dyDescent="0.3">
      <c r="A6" s="6"/>
      <c r="B6" s="1" t="s">
        <v>3</v>
      </c>
      <c r="C6" s="1">
        <v>1000</v>
      </c>
      <c r="D6">
        <v>1000.23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</row>
    <row r="7" spans="1:37" x14ac:dyDescent="0.3">
      <c r="A7" s="6"/>
      <c r="B7" s="1"/>
      <c r="C7" s="1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x14ac:dyDescent="0.3">
      <c r="A8" s="6"/>
      <c r="B8" s="1" t="s">
        <v>4</v>
      </c>
      <c r="C8" s="1">
        <v>460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</row>
    <row r="9" spans="1:37" x14ac:dyDescent="0.3">
      <c r="A9" s="6"/>
      <c r="B9" s="1" t="s">
        <v>5</v>
      </c>
      <c r="C9" s="1">
        <v>7800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</row>
    <row r="10" spans="1:37" x14ac:dyDescent="0.3">
      <c r="A10" s="6"/>
      <c r="B10" s="1" t="s">
        <v>6</v>
      </c>
      <c r="C10" s="1">
        <v>46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</row>
    <row r="11" spans="1:37" x14ac:dyDescent="0.3">
      <c r="A11" s="6"/>
      <c r="B11" s="1"/>
      <c r="C11" s="1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</row>
    <row r="12" spans="1:37" x14ac:dyDescent="0.3">
      <c r="A12" s="6"/>
      <c r="B12" s="1" t="s">
        <v>13</v>
      </c>
      <c r="C12" s="1">
        <v>1000</v>
      </c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  <c r="AK12" s="6"/>
    </row>
    <row r="13" spans="1:37" x14ac:dyDescent="0.3">
      <c r="A13" s="6"/>
      <c r="B13" s="1" t="s">
        <v>14</v>
      </c>
      <c r="C13" s="1">
        <v>392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  <c r="AK13" s="6"/>
    </row>
    <row r="14" spans="1:37" x14ac:dyDescent="0.3">
      <c r="A14" s="6"/>
      <c r="B14" s="1" t="s">
        <v>9</v>
      </c>
      <c r="C14" s="1">
        <v>100</v>
      </c>
      <c r="E14" s="1" t="s">
        <v>7</v>
      </c>
      <c r="F14" s="1">
        <f>(C10*G14+C12*C13*C4)/(C10+C12*C4)</f>
        <v>299.8359383227513</v>
      </c>
      <c r="G14" s="1">
        <v>293.15738312874777</v>
      </c>
      <c r="H14" s="1">
        <v>286.47989821518399</v>
      </c>
      <c r="I14" s="1">
        <v>279.80354937767186</v>
      </c>
      <c r="J14" s="1">
        <v>273.12839553128856</v>
      </c>
      <c r="K14" s="1">
        <v>266.45448827270877</v>
      </c>
      <c r="L14" s="1">
        <v>259.78187168411955</v>
      </c>
      <c r="M14" s="1">
        <v>253.11058191036571</v>
      </c>
      <c r="N14" s="1">
        <v>246.44064712898484</v>
      </c>
      <c r="O14" s="1">
        <v>239.77208715586931</v>
      </c>
      <c r="P14" s="1">
        <v>233.10491357818461</v>
      </c>
      <c r="Q14" s="1">
        <v>226.43912940278241</v>
      </c>
      <c r="R14" s="1">
        <v>219.77472934348171</v>
      </c>
      <c r="S14" s="1">
        <v>213.11169952664335</v>
      </c>
      <c r="T14" s="1">
        <v>206.45001791945498</v>
      </c>
      <c r="U14" s="1">
        <v>199.78965410663804</v>
      </c>
      <c r="V14" s="1">
        <v>193.13056984215211</v>
      </c>
      <c r="W14" s="1">
        <v>186.47271890991877</v>
      </c>
      <c r="X14" s="1">
        <v>179.81604777788684</v>
      </c>
      <c r="Y14" s="1">
        <v>173.16049555392104</v>
      </c>
      <c r="Z14" s="1">
        <v>166.50599471855202</v>
      </c>
      <c r="AA14" s="1">
        <v>159.85247118482096</v>
      </c>
      <c r="AB14" s="1">
        <v>153.19984508434757</v>
      </c>
      <c r="AC14" s="1">
        <v>146.54803093700164</v>
      </c>
      <c r="AD14" s="1">
        <v>139.89693846419001</v>
      </c>
      <c r="AE14" s="1">
        <v>133.2464728708332</v>
      </c>
      <c r="AF14" s="1">
        <v>126.59653565998903</v>
      </c>
      <c r="AG14" s="1">
        <v>119.94702502586227</v>
      </c>
      <c r="AH14" s="1">
        <v>113.29783664500491</v>
      </c>
      <c r="AI14" s="1">
        <v>106.64886417511451</v>
      </c>
      <c r="AJ14" s="1">
        <v>100</v>
      </c>
      <c r="AK14" s="6"/>
    </row>
    <row r="15" spans="1:37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</row>
    <row r="16" spans="1:37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</row>
    <row r="17" spans="1:37" x14ac:dyDescent="0.3">
      <c r="A17" s="6"/>
      <c r="B17" s="6"/>
      <c r="C17" s="6"/>
      <c r="D17" s="6"/>
      <c r="E17" s="1" t="s">
        <v>10</v>
      </c>
      <c r="F17" s="1"/>
      <c r="G17" s="4">
        <f>G14+(($C$10*$C$5)/($C$9*$C$8))*((H14-2*G14+F14)/($C$4^2))</f>
        <v>293.15791785732131</v>
      </c>
      <c r="H17" s="4">
        <f t="shared" ref="H17:AI17" si="1">H14+(($C$10*$C$5)/($C$9*$C$8))*((I14-2*H14+G14)/($C$4^2))</f>
        <v>286.48046581625749</v>
      </c>
      <c r="I17" s="4">
        <f t="shared" si="1"/>
        <v>279.80414641362432</v>
      </c>
      <c r="J17" s="4">
        <f t="shared" si="1"/>
        <v>273.12901834573347</v>
      </c>
      <c r="K17" s="4">
        <f t="shared" si="1"/>
        <v>266.45513311129253</v>
      </c>
      <c r="L17" s="4">
        <f t="shared" si="1"/>
        <v>259.78253458122384</v>
      </c>
      <c r="M17" s="4">
        <f t="shared" si="1"/>
        <v>253.11125888540127</v>
      </c>
      <c r="N17" s="4">
        <f t="shared" si="1"/>
        <v>246.44133400434509</v>
      </c>
      <c r="O17" s="4">
        <f t="shared" si="1"/>
        <v>239.77277982035571</v>
      </c>
      <c r="P17" s="4">
        <f t="shared" si="1"/>
        <v>233.10560774494036</v>
      </c>
      <c r="Q17" s="4">
        <f t="shared" si="1"/>
        <v>226.4398209284808</v>
      </c>
      <c r="R17" s="4">
        <f t="shared" si="1"/>
        <v>219.77541393769656</v>
      </c>
      <c r="S17" s="4">
        <f t="shared" si="1"/>
        <v>213.11237311292618</v>
      </c>
      <c r="T17" s="4">
        <f t="shared" si="1"/>
        <v>206.45067630979671</v>
      </c>
      <c r="U17" s="4">
        <f t="shared" si="1"/>
        <v>199.79029338866957</v>
      </c>
      <c r="V17" s="4">
        <f t="shared" si="1"/>
        <v>193.13118603391985</v>
      </c>
      <c r="W17" s="4">
        <f t="shared" si="1"/>
        <v>186.47330835625016</v>
      </c>
      <c r="X17" s="4">
        <f t="shared" si="1"/>
        <v>179.81660680157066</v>
      </c>
      <c r="Y17" s="4">
        <f t="shared" si="1"/>
        <v>173.1610208438392</v>
      </c>
      <c r="Z17" s="4">
        <f t="shared" si="1"/>
        <v>166.50648299348575</v>
      </c>
      <c r="AA17" s="4">
        <f t="shared" si="1"/>
        <v>159.85291955628315</v>
      </c>
      <c r="AB17" s="4">
        <f t="shared" si="1"/>
        <v>153.20025074862164</v>
      </c>
      <c r="AC17" s="4">
        <f t="shared" si="1"/>
        <v>146.54839149670167</v>
      </c>
      <c r="AD17" s="4">
        <f t="shared" si="1"/>
        <v>139.89725166280994</v>
      </c>
      <c r="AE17" s="4">
        <f t="shared" si="1"/>
        <v>133.24673685886549</v>
      </c>
      <c r="AF17" s="4">
        <f t="shared" si="1"/>
        <v>126.59674878427977</v>
      </c>
      <c r="AG17" s="4">
        <f t="shared" si="1"/>
        <v>119.9471860285534</v>
      </c>
      <c r="AH17" s="4">
        <f t="shared" si="1"/>
        <v>113.29794451744571</v>
      </c>
      <c r="AI17" s="4">
        <f t="shared" si="1"/>
        <v>106.64891828085062</v>
      </c>
      <c r="AJ17" s="1"/>
      <c r="AK17" s="6"/>
    </row>
    <row r="18" spans="1:37" x14ac:dyDescent="0.3">
      <c r="A18" s="6"/>
      <c r="B18" s="8">
        <f>(C9*C8*C4^2)/(2*C10)</f>
        <v>0.4333333333333334</v>
      </c>
      <c r="C18" s="6"/>
      <c r="D18" s="6"/>
      <c r="E18" s="5"/>
      <c r="F18">
        <f>C12*(C13-C14)</f>
        <v>292000</v>
      </c>
      <c r="G18">
        <f t="shared" ref="G18:AI18" si="2">-$C$10*((G14-F14))/$C$4</f>
        <v>92164.061677248799</v>
      </c>
      <c r="H18">
        <f t="shared" si="2"/>
        <v>92149.291807180067</v>
      </c>
      <c r="I18">
        <f t="shared" si="2"/>
        <v>92133.61395766749</v>
      </c>
      <c r="J18">
        <f t="shared" si="2"/>
        <v>92117.12308008947</v>
      </c>
      <c r="K18">
        <f t="shared" si="2"/>
        <v>92099.920168401077</v>
      </c>
      <c r="L18">
        <f t="shared" si="2"/>
        <v>92082.108922531246</v>
      </c>
      <c r="M18">
        <f t="shared" si="2"/>
        <v>92063.798877802998</v>
      </c>
      <c r="N18">
        <f t="shared" si="2"/>
        <v>92045.099983056061</v>
      </c>
      <c r="O18">
        <f t="shared" si="2"/>
        <v>92026.127628994174</v>
      </c>
      <c r="P18">
        <f t="shared" si="2"/>
        <v>92006.995372048958</v>
      </c>
      <c r="Q18">
        <f t="shared" si="2"/>
        <v>91987.821620550283</v>
      </c>
      <c r="R18">
        <f t="shared" si="2"/>
        <v>91968.720818349699</v>
      </c>
      <c r="S18">
        <f t="shared" si="2"/>
        <v>91949.811472369372</v>
      </c>
      <c r="T18">
        <f t="shared" si="2"/>
        <v>91931.206179199507</v>
      </c>
      <c r="U18">
        <f t="shared" si="2"/>
        <v>91913.020616873764</v>
      </c>
      <c r="V18">
        <f t="shared" si="2"/>
        <v>91895.362849905781</v>
      </c>
      <c r="W18">
        <f t="shared" si="2"/>
        <v>91878.342864820152</v>
      </c>
      <c r="X18">
        <f t="shared" si="2"/>
        <v>91862.061622040652</v>
      </c>
      <c r="Y18">
        <f t="shared" si="2"/>
        <v>91846.620690728014</v>
      </c>
      <c r="Z18">
        <f t="shared" si="2"/>
        <v>91832.111528092486</v>
      </c>
      <c r="AA18">
        <f t="shared" si="2"/>
        <v>91818.624765488639</v>
      </c>
      <c r="AB18">
        <f t="shared" si="2"/>
        <v>91806.240186532697</v>
      </c>
      <c r="AC18">
        <f t="shared" si="2"/>
        <v>91795.035233373841</v>
      </c>
      <c r="AD18">
        <f t="shared" si="2"/>
        <v>91785.076124800442</v>
      </c>
      <c r="AE18">
        <f t="shared" si="2"/>
        <v>91776.425188324021</v>
      </c>
      <c r="AF18">
        <f t="shared" si="2"/>
        <v>91769.13350964956</v>
      </c>
      <c r="AG18">
        <f t="shared" si="2"/>
        <v>91763.246750949227</v>
      </c>
      <c r="AH18">
        <f t="shared" si="2"/>
        <v>91758.799655831666</v>
      </c>
      <c r="AI18">
        <f t="shared" si="2"/>
        <v>91755.820084487452</v>
      </c>
      <c r="AK18" s="6"/>
    </row>
    <row r="19" spans="1:37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</row>
    <row r="20" spans="1:37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</row>
    <row r="21" spans="1:37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</row>
    <row r="22" spans="1:37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</row>
    <row r="23" spans="1:37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</row>
    <row r="24" spans="1:37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</row>
    <row r="25" spans="1:37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</row>
    <row r="26" spans="1:37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</row>
    <row r="27" spans="1:37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</row>
    <row r="28" spans="1:37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</row>
    <row r="29" spans="1:37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</row>
    <row r="30" spans="1:37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</row>
    <row r="31" spans="1:37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</row>
    <row r="32" spans="1:37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</row>
    <row r="33" spans="1:37" x14ac:dyDescent="0.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</row>
    <row r="34" spans="1:37" x14ac:dyDescent="0.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</row>
    <row r="35" spans="1:37" x14ac:dyDescent="0.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</row>
    <row r="36" spans="1:37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</row>
    <row r="37" spans="1:37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</row>
    <row r="38" spans="1:37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</row>
    <row r="39" spans="1:37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</row>
    <row r="40" spans="1:37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</row>
    <row r="41" spans="1:37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</row>
    <row r="42" spans="1:37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</row>
    <row r="43" spans="1:37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</row>
    <row r="44" spans="1:37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</row>
    <row r="45" spans="1:37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</row>
  </sheetData>
  <conditionalFormatting sqref="E14:AJ14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J18"/>
  <sheetViews>
    <sheetView tabSelected="1" topLeftCell="A7" workbookViewId="0">
      <selection activeCell="T27" sqref="T27"/>
    </sheetView>
  </sheetViews>
  <sheetFormatPr defaultRowHeight="14.4" x14ac:dyDescent="0.3"/>
  <cols>
    <col min="7" max="7" width="9.44140625" bestFit="1" customWidth="1"/>
    <col min="8" max="8" width="8.88671875" customWidth="1"/>
  </cols>
  <sheetData>
    <row r="3" spans="1:36" x14ac:dyDescent="0.3">
      <c r="B3" s="7" t="s">
        <v>0</v>
      </c>
      <c r="C3" s="7">
        <v>0.1</v>
      </c>
    </row>
    <row r="4" spans="1:36" x14ac:dyDescent="0.3">
      <c r="B4" s="7" t="s">
        <v>1</v>
      </c>
      <c r="C4" s="7">
        <f>C3/30</f>
        <v>3.3333333333333335E-3</v>
      </c>
    </row>
    <row r="5" spans="1:36" x14ac:dyDescent="0.3">
      <c r="B5" s="7" t="s">
        <v>2</v>
      </c>
      <c r="C5" s="7">
        <f>C18</f>
        <v>0.26000000000000006</v>
      </c>
    </row>
    <row r="6" spans="1:36" x14ac:dyDescent="0.3">
      <c r="B6" s="7" t="s">
        <v>3</v>
      </c>
      <c r="C6" s="7">
        <v>60</v>
      </c>
      <c r="D6">
        <v>60.060000000000016</v>
      </c>
    </row>
    <row r="7" spans="1:36" x14ac:dyDescent="0.3">
      <c r="B7" s="7"/>
      <c r="C7" s="7"/>
    </row>
    <row r="8" spans="1:36" x14ac:dyDescent="0.3">
      <c r="A8">
        <v>450</v>
      </c>
      <c r="B8" s="7" t="s">
        <v>4</v>
      </c>
      <c r="C8" s="7">
        <v>460</v>
      </c>
    </row>
    <row r="9" spans="1:36" x14ac:dyDescent="0.3">
      <c r="A9">
        <v>7800</v>
      </c>
      <c r="B9" s="7" t="s">
        <v>5</v>
      </c>
      <c r="C9" s="7">
        <v>7800</v>
      </c>
    </row>
    <row r="10" spans="1:36" x14ac:dyDescent="0.3">
      <c r="A10">
        <v>75</v>
      </c>
      <c r="B10" s="7" t="s">
        <v>6</v>
      </c>
      <c r="C10" s="7">
        <v>46</v>
      </c>
    </row>
    <row r="11" spans="1:36" x14ac:dyDescent="0.3">
      <c r="B11" s="7"/>
      <c r="C11" s="7"/>
    </row>
    <row r="12" spans="1:36" x14ac:dyDescent="0.3">
      <c r="B12" s="7"/>
      <c r="C12" s="7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1:36" x14ac:dyDescent="0.3">
      <c r="B13" s="7" t="s">
        <v>8</v>
      </c>
      <c r="C13" s="7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1:36" x14ac:dyDescent="0.3">
      <c r="B14" s="7" t="s">
        <v>9</v>
      </c>
      <c r="C14" s="7">
        <v>100</v>
      </c>
      <c r="E14" s="1" t="s">
        <v>7</v>
      </c>
      <c r="F14" s="1">
        <v>300</v>
      </c>
      <c r="G14" s="11">
        <v>279.6777832932313</v>
      </c>
      <c r="H14" s="11">
        <v>259.48548607371117</v>
      </c>
      <c r="I14" s="11">
        <v>239.54946140546429</v>
      </c>
      <c r="J14" s="11">
        <v>219.98905894143218</v>
      </c>
      <c r="K14" s="11">
        <v>200.91344099667188</v>
      </c>
      <c r="L14" s="11">
        <v>182.41876402461108</v>
      </c>
      <c r="M14" s="11">
        <v>164.58582152611231</v>
      </c>
      <c r="N14" s="11">
        <v>147.47822454739674</v>
      </c>
      <c r="O14" s="11">
        <v>131.14117076713387</v>
      </c>
      <c r="P14" s="11">
        <v>115.60083593371471</v>
      </c>
      <c r="Q14" s="11">
        <v>100.86436074974156</v>
      </c>
      <c r="R14" s="11">
        <v>86.920533169111124</v>
      </c>
      <c r="S14" s="11">
        <v>73.740577831419671</v>
      </c>
      <c r="T14" s="11">
        <v>61.281348262421247</v>
      </c>
      <c r="U14" s="11">
        <v>61.281348262421247</v>
      </c>
      <c r="V14" s="11">
        <v>61.676382147765864</v>
      </c>
      <c r="W14" s="11">
        <v>62.471134934715927</v>
      </c>
      <c r="X14" s="11">
        <v>63.640355416038545</v>
      </c>
      <c r="Y14" s="11">
        <v>65.196844026661836</v>
      </c>
      <c r="Z14" s="11">
        <v>67.093205854708756</v>
      </c>
      <c r="AA14" s="11">
        <v>69.346816963593383</v>
      </c>
      <c r="AB14" s="11">
        <v>71.893891223225694</v>
      </c>
      <c r="AC14" s="11">
        <v>74.751190199943309</v>
      </c>
      <c r="AD14" s="11">
        <v>77.84608196473863</v>
      </c>
      <c r="AE14" s="11">
        <v>81.188812958994873</v>
      </c>
      <c r="AF14" s="11">
        <v>84.7061365548564</v>
      </c>
      <c r="AG14" s="11">
        <v>88.396260890317251</v>
      </c>
      <c r="AH14" s="11">
        <v>92.193053198489508</v>
      </c>
      <c r="AI14" s="11">
        <v>96.078591498293775</v>
      </c>
      <c r="AJ14" s="1">
        <f>C14</f>
        <v>100</v>
      </c>
    </row>
    <row r="17" spans="2:36" x14ac:dyDescent="0.3">
      <c r="E17" s="1" t="s">
        <v>10</v>
      </c>
      <c r="F17" s="1"/>
      <c r="G17" s="4">
        <f>G14+(($C$10*$C$5)/($C$9*$C$8))*((H14-2*G14+F14)/($C$4^2))</f>
        <v>279.71675913940589</v>
      </c>
      <c r="H17" s="4">
        <f t="shared" ref="H17:S17" si="1">H14+(($C$10*$C$5)/($C$9*$C$8))*((I14-2*H14+G14)/($C$4^2))</f>
        <v>259.56236783909316</v>
      </c>
      <c r="I17" s="4">
        <f t="shared" si="1"/>
        <v>239.66214806672872</v>
      </c>
      <c r="J17" s="4">
        <f t="shared" si="1"/>
        <v>220.13449429721373</v>
      </c>
      <c r="K17" s="4">
        <f t="shared" si="1"/>
        <v>201.08772328848173</v>
      </c>
      <c r="L17" s="4">
        <f t="shared" si="1"/>
        <v>182.61728436667968</v>
      </c>
      <c r="M17" s="4">
        <f t="shared" si="1"/>
        <v>164.80342518204728</v>
      </c>
      <c r="N17" s="4">
        <f t="shared" si="1"/>
        <v>147.70938750693256</v>
      </c>
      <c r="O17" s="4">
        <f t="shared" si="1"/>
        <v>131.38018645118697</v>
      </c>
      <c r="P17" s="4">
        <f t="shared" si="1"/>
        <v>115.84199382854851</v>
      </c>
      <c r="Q17" s="4">
        <f t="shared" si="1"/>
        <v>101.10215503074437</v>
      </c>
      <c r="R17" s="4">
        <f t="shared" si="1"/>
        <v>87.149694841992826</v>
      </c>
      <c r="S17" s="4">
        <f t="shared" si="1"/>
        <v>73.95679556202758</v>
      </c>
      <c r="T17" s="4">
        <f>U17</f>
        <v>61.478865205093555</v>
      </c>
      <c r="U17" s="4">
        <f t="shared" ref="U17:AH17" si="2">U14+(($A$10*$C$5)/($A$9*$A$8))*((V14-2*U14+T14)/($C$4^2))</f>
        <v>61.478865205093555</v>
      </c>
      <c r="V17" s="4">
        <f t="shared" si="2"/>
        <v>61.876241598568583</v>
      </c>
      <c r="W17" s="4">
        <f t="shared" si="2"/>
        <v>62.658368781902205</v>
      </c>
      <c r="X17" s="4">
        <f t="shared" si="2"/>
        <v>63.833989480688885</v>
      </c>
      <c r="Y17" s="4">
        <f t="shared" si="2"/>
        <v>65.366780635373658</v>
      </c>
      <c r="Z17" s="4">
        <f t="shared" si="2"/>
        <v>67.271830495127602</v>
      </c>
      <c r="AA17" s="4">
        <f t="shared" si="2"/>
        <v>69.493548538967218</v>
      </c>
      <c r="AB17" s="4">
        <f t="shared" si="2"/>
        <v>72.049003581768346</v>
      </c>
      <c r="AC17" s="4">
        <f t="shared" si="2"/>
        <v>74.869986593982162</v>
      </c>
      <c r="AD17" s="4">
        <f t="shared" si="2"/>
        <v>77.970001579469098</v>
      </c>
      <c r="AE17" s="4">
        <f t="shared" si="2"/>
        <v>81.276109259797522</v>
      </c>
      <c r="AF17" s="4">
        <f t="shared" si="2"/>
        <v>84.792536924656062</v>
      </c>
      <c r="AG17" s="4">
        <f t="shared" si="2"/>
        <v>88.449594876672961</v>
      </c>
      <c r="AH17" s="4">
        <f t="shared" si="2"/>
        <v>92.237426194305513</v>
      </c>
      <c r="AI17" s="4">
        <f>AI14+(($A$10*$C$5)/($A$9*$A$8))*((AJ14-2*AI14+AH14)/($C$4^2))</f>
        <v>96.096526599244754</v>
      </c>
      <c r="AJ17" s="1"/>
    </row>
    <row r="18" spans="2:36" x14ac:dyDescent="0.3">
      <c r="B18">
        <f>(C9*C8*C4^2)/(2*C10)</f>
        <v>0.4333333333333334</v>
      </c>
      <c r="C18">
        <f>(A9*A8*C4^2)/(2*A10)</f>
        <v>0.26000000000000006</v>
      </c>
    </row>
  </sheetData>
  <conditionalFormatting sqref="E14:AJ14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Диаграммы</vt:lpstr>
      </vt:variant>
      <vt:variant>
        <vt:i4>1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Диаграмма1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2021-03-18T18:06:17Z</dcterms:modified>
</cp:coreProperties>
</file>