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3040" windowHeight="9192" activeTab="1"/>
  </bookViews>
  <sheets>
    <sheet name="Диаграмма1" sheetId="4" r:id="rId1"/>
    <sheet name="Лист1" sheetId="1" r:id="rId2"/>
    <sheet name="Лист2" sheetId="2" r:id="rId3"/>
    <sheet name="Лист3" sheetId="3" r:id="rId4"/>
  </sheets>
  <calcPr calcId="162913"/>
</workbook>
</file>

<file path=xl/calcChain.xml><?xml version="1.0" encoding="utf-8"?>
<calcChain xmlns="http://schemas.openxmlformats.org/spreadsheetml/2006/main">
  <c r="F18" i="3" l="1"/>
  <c r="F14" i="3" s="1"/>
  <c r="G17" i="3" s="1"/>
  <c r="AI18" i="3"/>
  <c r="S18" i="3"/>
  <c r="O18" i="3"/>
  <c r="K18" i="3"/>
  <c r="AH17" i="3"/>
  <c r="AD17" i="3"/>
  <c r="N17" i="3"/>
  <c r="L17" i="3"/>
  <c r="J17" i="3"/>
  <c r="H17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4" i="3"/>
  <c r="AF18" i="3" s="1"/>
  <c r="L17" i="2"/>
  <c r="M17" i="2"/>
  <c r="N17" i="2"/>
  <c r="T17" i="2"/>
  <c r="U17" i="2"/>
  <c r="V17" i="2"/>
  <c r="AB17" i="2"/>
  <c r="AC17" i="2"/>
  <c r="AD17" i="2"/>
  <c r="Q18" i="2"/>
  <c r="U18" i="2"/>
  <c r="Y18" i="2"/>
  <c r="F18" i="2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H17" i="1"/>
  <c r="I17" i="1"/>
  <c r="J17" i="1"/>
  <c r="K17" i="1"/>
  <c r="M17" i="1"/>
  <c r="N17" i="1"/>
  <c r="O17" i="1"/>
  <c r="P17" i="1"/>
  <c r="Q17" i="1"/>
  <c r="R17" i="1"/>
  <c r="S17" i="1"/>
  <c r="U17" i="1"/>
  <c r="V17" i="1"/>
  <c r="W17" i="1"/>
  <c r="X17" i="1"/>
  <c r="Y17" i="1"/>
  <c r="Z17" i="1"/>
  <c r="AA17" i="1"/>
  <c r="AC17" i="1"/>
  <c r="AD17" i="1"/>
  <c r="AE17" i="1"/>
  <c r="AF17" i="1"/>
  <c r="AG17" i="1"/>
  <c r="AH17" i="1"/>
  <c r="C4" i="1"/>
  <c r="G17" i="1" s="1"/>
  <c r="B18" i="1"/>
  <c r="AJ14" i="1"/>
  <c r="AI17" i="1" s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M18" i="2" l="1"/>
  <c r="S17" i="2"/>
  <c r="AH17" i="2"/>
  <c r="Z17" i="2"/>
  <c r="R17" i="2"/>
  <c r="J17" i="2"/>
  <c r="F14" i="2"/>
  <c r="G17" i="2" s="1"/>
  <c r="AG17" i="2"/>
  <c r="Y17" i="2"/>
  <c r="Q17" i="2"/>
  <c r="I17" i="2"/>
  <c r="R17" i="3"/>
  <c r="W18" i="3"/>
  <c r="AB17" i="1"/>
  <c r="T17" i="1"/>
  <c r="L17" i="1"/>
  <c r="AG18" i="2"/>
  <c r="AF17" i="2"/>
  <c r="X17" i="2"/>
  <c r="P17" i="2"/>
  <c r="H17" i="2"/>
  <c r="V17" i="3"/>
  <c r="AA18" i="3"/>
  <c r="AA17" i="2"/>
  <c r="K17" i="2"/>
  <c r="AC18" i="2"/>
  <c r="AE17" i="2"/>
  <c r="W17" i="2"/>
  <c r="O17" i="2"/>
  <c r="Z17" i="3"/>
  <c r="AE18" i="3"/>
  <c r="G18" i="3"/>
  <c r="I17" i="3"/>
  <c r="M17" i="3"/>
  <c r="Q17" i="3"/>
  <c r="U17" i="3"/>
  <c r="Y17" i="3"/>
  <c r="AC17" i="3"/>
  <c r="AG17" i="3"/>
  <c r="J18" i="3"/>
  <c r="N18" i="3"/>
  <c r="R18" i="3"/>
  <c r="V18" i="3"/>
  <c r="Z18" i="3"/>
  <c r="AD18" i="3"/>
  <c r="AH18" i="3"/>
  <c r="P17" i="3"/>
  <c r="T17" i="3"/>
  <c r="X17" i="3"/>
  <c r="AB17" i="3"/>
  <c r="AF17" i="3"/>
  <c r="B18" i="3"/>
  <c r="I18" i="3"/>
  <c r="M18" i="3"/>
  <c r="Q18" i="3"/>
  <c r="U18" i="3"/>
  <c r="Y18" i="3"/>
  <c r="AC18" i="3"/>
  <c r="AG18" i="3"/>
  <c r="K17" i="3"/>
  <c r="O17" i="3"/>
  <c r="S17" i="3"/>
  <c r="W17" i="3"/>
  <c r="AA17" i="3"/>
  <c r="AE17" i="3"/>
  <c r="AI17" i="3"/>
  <c r="H18" i="3"/>
  <c r="L18" i="3"/>
  <c r="P18" i="3"/>
  <c r="T18" i="3"/>
  <c r="X18" i="3"/>
  <c r="AB18" i="3"/>
  <c r="AI17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  <c r="G18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<sst xmlns="http://schemas.openxmlformats.org/spreadsheetml/2006/main" count="38" uniqueCount="15">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</sst>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896192"/>
        <c:axId val="147897728"/>
      </c:barChart>
      <c:catAx>
        <c:axId val="147896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7897728"/>
        <c:crosses val="autoZero"/>
        <c:auto val="1"/>
        <c:lblAlgn val="ctr"/>
        <c:lblOffset val="100"/>
        <c:noMultiLvlLbl val="0"/>
      </c:catAx>
      <c:valAx>
        <c:axId val="147897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7896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spPr>
            <a:ln w="4762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F-4563-A8FC-9260498D866B}"/>
            </c:ext>
          </c:extLst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4762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2F-4563-A8FC-9260498D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23264"/>
        <c:axId val="152124800"/>
      </c:lineChart>
      <c:catAx>
        <c:axId val="152123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24800"/>
        <c:crosses val="autoZero"/>
        <c:auto val="1"/>
        <c:lblAlgn val="ctr"/>
        <c:lblOffset val="100"/>
        <c:noMultiLvlLbl val="0"/>
      </c:catAx>
      <c:valAx>
        <c:axId val="1521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232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952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1-4331-AEE2-872C651C6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50304"/>
        <c:axId val="152060288"/>
      </c:scatterChart>
      <c:valAx>
        <c:axId val="15205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60288"/>
        <c:crosses val="autoZero"/>
        <c:crossBetween val="midCat"/>
      </c:valAx>
      <c:valAx>
        <c:axId val="1520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5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2014"/>
          <c:h val="0.688805039619327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3E-4019-8006-1E3E29B60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97536"/>
        <c:axId val="152099072"/>
      </c:scatterChart>
      <c:valAx>
        <c:axId val="15209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99072"/>
        <c:crosses val="autoZero"/>
        <c:crossBetween val="midCat"/>
      </c:valAx>
      <c:valAx>
        <c:axId val="1520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09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299.99998837961846</c:v>
                </c:pt>
                <c:pt idx="2">
                  <c:v>293.33332171295177</c:v>
                </c:pt>
                <c:pt idx="3">
                  <c:v>286.66665507922426</c:v>
                </c:pt>
                <c:pt idx="4">
                  <c:v>279.99998847834274</c:v>
                </c:pt>
                <c:pt idx="5">
                  <c:v>273.3333219101205</c:v>
                </c:pt>
                <c:pt idx="6">
                  <c:v>266.66665537427872</c:v>
                </c:pt>
                <c:pt idx="7">
                  <c:v>259.99998887044632</c:v>
                </c:pt>
                <c:pt idx="8">
                  <c:v>253.33332239816195</c:v>
                </c:pt>
                <c:pt idx="9">
                  <c:v>246.66665595687442</c:v>
                </c:pt>
                <c:pt idx="10">
                  <c:v>239.99998954594506</c:v>
                </c:pt>
                <c:pt idx="11">
                  <c:v>233.33332316464873</c:v>
                </c:pt>
                <c:pt idx="12">
                  <c:v>226.66665681217677</c:v>
                </c:pt>
                <c:pt idx="13">
                  <c:v>219.99999048763834</c:v>
                </c:pt>
                <c:pt idx="14">
                  <c:v>213.33332419006379</c:v>
                </c:pt>
                <c:pt idx="15">
                  <c:v>206.6666579184068</c:v>
                </c:pt>
                <c:pt idx="16">
                  <c:v>199.99999167154772</c:v>
                </c:pt>
                <c:pt idx="17">
                  <c:v>193.33332544829653</c:v>
                </c:pt>
                <c:pt idx="18">
                  <c:v>186.66665924739632</c:v>
                </c:pt>
                <c:pt idx="19">
                  <c:v>179.9999930675269</c:v>
                </c:pt>
                <c:pt idx="20">
                  <c:v>173.33332690730825</c:v>
                </c:pt>
                <c:pt idx="21">
                  <c:v>166.66666076530493</c:v>
                </c:pt>
                <c:pt idx="22">
                  <c:v>159.9999946400296</c:v>
                </c:pt>
                <c:pt idx="23">
                  <c:v>153.33332852994772</c:v>
                </c:pt>
                <c:pt idx="24">
                  <c:v>146.66666243348158</c:v>
                </c:pt>
                <c:pt idx="25">
                  <c:v>139.99999634901485</c:v>
                </c:pt>
                <c:pt idx="26">
                  <c:v>133.33333027489724</c:v>
                </c:pt>
                <c:pt idx="27">
                  <c:v>126.66666420944908</c:v>
                </c:pt>
                <c:pt idx="28">
                  <c:v>119.99999815096618</c:v>
                </c:pt>
                <c:pt idx="29">
                  <c:v>113.33333209772458</c:v>
                </c:pt>
                <c:pt idx="30">
                  <c:v>106.66666604798542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32-4A4C-A43F-72385811C758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52300160"/>
        <c:axId val="192819584"/>
      </c:scatterChart>
      <c:valAx>
        <c:axId val="15230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819584"/>
        <c:crosses val="autoZero"/>
        <c:crossBetween val="midCat"/>
      </c:valAx>
      <c:valAx>
        <c:axId val="19281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30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114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>
  <cs:dataPoint3D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</xdr:colOff>
      <xdr:row>20</xdr:row>
      <xdr:rowOff>9526</xdr:rowOff>
    </xdr:from>
    <xdr:to>
      <xdr:col>17</xdr:col>
      <xdr:colOff>158750</xdr:colOff>
      <xdr:row>35</xdr:row>
      <xdr:rowOff>17463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3175</xdr:colOff>
      <xdr:row>19</xdr:row>
      <xdr:rowOff>166687</xdr:rowOff>
    </xdr:from>
    <xdr:to>
      <xdr:col>30</xdr:col>
      <xdr:colOff>188913</xdr:colOff>
      <xdr:row>34</xdr:row>
      <xdr:rowOff>174624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19</xdr:row>
      <xdr:rowOff>174170</xdr:rowOff>
    </xdr:from>
    <xdr:to>
      <xdr:col>14</xdr:col>
      <xdr:colOff>544286</xdr:colOff>
      <xdr:row>39</xdr:row>
      <xdr:rowOff>10884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598170</xdr:colOff>
      <xdr:row>18</xdr:row>
      <xdr:rowOff>177800</xdr:rowOff>
    </xdr:from>
    <xdr:to>
      <xdr:col>11</xdr:col>
      <xdr:colOff>217170</xdr:colOff>
      <xdr:row>33</xdr:row>
      <xdr:rowOff>158750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8"/>
  <sheetViews>
    <sheetView tabSelected="1" topLeftCell="A2" zoomScale="80" zoomScaleNormal="80" workbookViewId="0">
      <selection activeCell="K9" sqref="K9"/>
    </sheetView>
  </sheetViews>
  <sheetFormatPr defaultRowHeight="14.4" x14ac:dyDescent="0.3"/>
  <cols>
    <col min="6" max="6" width="6.77734375" bestFit="1" customWidth="1"/>
    <col min="7" max="7" width="7" customWidth="1"/>
    <col min="8" max="15" width="5.77734375" bestFit="1" customWidth="1"/>
    <col min="16" max="16" width="4.77734375" bestFit="1" customWidth="1"/>
    <col min="17" max="25" width="5.77734375" bestFit="1" customWidth="1"/>
    <col min="26" max="26" width="4.77734375" bestFit="1" customWidth="1"/>
    <col min="27" max="35" width="5.77734375" bestFit="1" customWidth="1"/>
    <col min="36" max="36" width="4.777343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60</v>
      </c>
      <c r="D6">
        <v>60.186999999999998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/>
      <c r="C12" s="1"/>
      <c r="E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8</v>
      </c>
      <c r="C13" s="1">
        <v>300</v>
      </c>
      <c r="E13" s="1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 x14ac:dyDescent="0.3">
      <c r="B18">
        <f>(C9*C8*C4^2)/(2*C10)</f>
        <v>0.4333333333333334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8"/>
  <sheetViews>
    <sheetView topLeftCell="A2" zoomScale="70" zoomScaleNormal="70" workbookViewId="0">
      <selection activeCell="AB29" sqref="AB29"/>
    </sheetView>
  </sheetViews>
  <sheetFormatPr defaultRowHeight="14.4" x14ac:dyDescent="0.3"/>
  <cols>
    <col min="5" max="36" width="8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5000</v>
      </c>
      <c r="D6">
        <v>5000.2839999999997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/>
      <c r="C12" s="1"/>
      <c r="E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11</v>
      </c>
      <c r="C13" s="1">
        <v>92000</v>
      </c>
      <c r="E13" s="1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 x14ac:dyDescent="0.3">
      <c r="B18">
        <f>(C9*C8*C4^2)/(2*C10)</f>
        <v>0.4333333333333334</v>
      </c>
      <c r="E18" s="6" t="s">
        <v>12</v>
      </c>
      <c r="F18" s="1">
        <f>C13</f>
        <v>92000</v>
      </c>
      <c r="G18" s="1">
        <f t="shared" ref="G18:AI18" si="2">-$C$10*((G14-F14))/$C$4</f>
        <v>92000.000000000262</v>
      </c>
      <c r="H18" s="1">
        <f t="shared" si="2"/>
        <v>91999.999125118382</v>
      </c>
      <c r="I18" s="1">
        <f t="shared" si="2"/>
        <v>91999.998252719248</v>
      </c>
      <c r="J18" s="1">
        <f t="shared" si="2"/>
        <v>91999.997385269147</v>
      </c>
      <c r="K18" s="1">
        <f t="shared" si="2"/>
        <v>91999.996525235125</v>
      </c>
      <c r="L18" s="1">
        <f t="shared" si="2"/>
        <v>91999.995675045822</v>
      </c>
      <c r="M18" s="1">
        <f t="shared" si="2"/>
        <v>91999.994837121223</v>
      </c>
      <c r="N18" s="1">
        <f t="shared" si="2"/>
        <v>91999.994013826814</v>
      </c>
      <c r="O18" s="1">
        <f t="shared" si="2"/>
        <v>91999.993207504522</v>
      </c>
      <c r="P18" s="1">
        <f t="shared" si="2"/>
        <v>91999.992420432376</v>
      </c>
      <c r="Q18" s="1">
        <f t="shared" si="2"/>
        <v>91999.991654849931</v>
      </c>
      <c r="R18" s="1">
        <f t="shared" si="2"/>
        <v>91999.990912917943</v>
      </c>
      <c r="S18" s="1">
        <f t="shared" si="2"/>
        <v>91999.990196748899</v>
      </c>
      <c r="T18" s="1">
        <f t="shared" si="2"/>
        <v>91999.989508363898</v>
      </c>
      <c r="U18" s="1">
        <f t="shared" si="2"/>
        <v>91999.988849722882</v>
      </c>
      <c r="V18" s="1">
        <f t="shared" si="2"/>
        <v>91999.988222684173</v>
      </c>
      <c r="W18" s="1">
        <f t="shared" si="2"/>
        <v>91999.987629033931</v>
      </c>
      <c r="X18" s="1">
        <f t="shared" si="2"/>
        <v>91999.987070446165</v>
      </c>
      <c r="Y18" s="1">
        <f t="shared" si="2"/>
        <v>91999.986548512898</v>
      </c>
      <c r="Z18" s="1">
        <f t="shared" si="2"/>
        <v>91999.986064704921</v>
      </c>
      <c r="AA18" s="1">
        <f t="shared" si="2"/>
        <v>91999.985620402498</v>
      </c>
      <c r="AB18" s="1">
        <f t="shared" si="2"/>
        <v>91999.985216856396</v>
      </c>
      <c r="AC18" s="1">
        <f t="shared" si="2"/>
        <v>91999.984855218558</v>
      </c>
      <c r="AD18" s="1">
        <f t="shared" si="2"/>
        <v>91999.984536507196</v>
      </c>
      <c r="AE18" s="1">
        <f t="shared" si="2"/>
        <v>91999.984261631471</v>
      </c>
      <c r="AF18" s="1">
        <f t="shared" si="2"/>
        <v>91999.984031364831</v>
      </c>
      <c r="AG18" s="1">
        <f t="shared" si="2"/>
        <v>91999.983846365838</v>
      </c>
      <c r="AH18" s="1">
        <f t="shared" si="2"/>
        <v>91999.983707154344</v>
      </c>
      <c r="AI18" s="1">
        <f t="shared" si="2"/>
        <v>91999.983614127326</v>
      </c>
      <c r="AJ18" s="1"/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AJ18"/>
  <sheetViews>
    <sheetView topLeftCell="A6" workbookViewId="0">
      <selection activeCell="Q25" sqref="Q25"/>
    </sheetView>
  </sheetViews>
  <sheetFormatPr defaultRowHeight="14.4" x14ac:dyDescent="0.3"/>
  <cols>
    <col min="5" max="36" width="6.4414062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200</v>
      </c>
      <c r="D6">
        <v>200.04599999999999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 t="s">
        <v>13</v>
      </c>
      <c r="C12" s="1">
        <v>1000</v>
      </c>
      <c r="E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14</v>
      </c>
      <c r="C13" s="1">
        <v>192</v>
      </c>
      <c r="E13" s="1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f>(F18/C10)*C4+G14</f>
        <v>299.99998837961846</v>
      </c>
      <c r="G14" s="1">
        <v>293.33332171295177</v>
      </c>
      <c r="H14" s="1">
        <v>286.66665507922426</v>
      </c>
      <c r="I14" s="1">
        <v>279.99998847834274</v>
      </c>
      <c r="J14" s="1">
        <v>273.3333219101205</v>
      </c>
      <c r="K14" s="1">
        <v>266.66665537427872</v>
      </c>
      <c r="L14" s="1">
        <v>259.99998887044632</v>
      </c>
      <c r="M14" s="1">
        <v>253.33332239816195</v>
      </c>
      <c r="N14" s="1">
        <v>246.66665595687442</v>
      </c>
      <c r="O14" s="1">
        <v>239.99998954594506</v>
      </c>
      <c r="P14" s="1">
        <v>233.33332316464873</v>
      </c>
      <c r="Q14" s="1">
        <v>226.66665681217677</v>
      </c>
      <c r="R14" s="1">
        <v>219.99999048763834</v>
      </c>
      <c r="S14" s="1">
        <v>213.33332419006379</v>
      </c>
      <c r="T14" s="1">
        <v>206.6666579184068</v>
      </c>
      <c r="U14" s="1">
        <v>199.99999167154772</v>
      </c>
      <c r="V14" s="1">
        <v>193.33332544829653</v>
      </c>
      <c r="W14" s="1">
        <v>186.66665924739632</v>
      </c>
      <c r="X14" s="1">
        <v>179.9999930675269</v>
      </c>
      <c r="Y14" s="1">
        <v>173.33332690730825</v>
      </c>
      <c r="Z14" s="1">
        <v>166.66666076530493</v>
      </c>
      <c r="AA14" s="1">
        <v>159.9999946400296</v>
      </c>
      <c r="AB14" s="1">
        <v>153.33332852994772</v>
      </c>
      <c r="AC14" s="1">
        <v>146.66666243348158</v>
      </c>
      <c r="AD14" s="1">
        <v>139.99999634901485</v>
      </c>
      <c r="AE14" s="1">
        <v>133.33333027489724</v>
      </c>
      <c r="AF14" s="1">
        <v>126.66666420944908</v>
      </c>
      <c r="AG14" s="1">
        <v>119.99999815096618</v>
      </c>
      <c r="AH14" s="1">
        <v>113.33333209772458</v>
      </c>
      <c r="AI14" s="1">
        <v>106.66666604798542</v>
      </c>
      <c r="AJ14" s="1"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293.33332172940868</v>
      </c>
      <c r="H17" s="4">
        <f t="shared" ref="H17:AI17" si="1">H14+(($C$10*$C$5)/($C$9*$C$8))*((I14-2*H14+G14)/($C$4^2))</f>
        <v>286.66665509563461</v>
      </c>
      <c r="I17" s="4">
        <f t="shared" si="1"/>
        <v>279.99998849465982</v>
      </c>
      <c r="J17" s="4">
        <f t="shared" si="1"/>
        <v>273.33332192629825</v>
      </c>
      <c r="K17" s="4">
        <f t="shared" si="1"/>
        <v>266.6666553902711</v>
      </c>
      <c r="L17" s="4">
        <f t="shared" si="1"/>
        <v>259.9999888862082</v>
      </c>
      <c r="M17" s="4">
        <f t="shared" si="1"/>
        <v>253.33332241364846</v>
      </c>
      <c r="N17" s="4">
        <f t="shared" si="1"/>
        <v>246.66665597204184</v>
      </c>
      <c r="O17" s="4">
        <f t="shared" si="1"/>
        <v>239.99998956075018</v>
      </c>
      <c r="P17" s="4">
        <f t="shared" si="1"/>
        <v>233.33332317904981</v>
      </c>
      <c r="Q17" s="4">
        <f t="shared" si="1"/>
        <v>226.66665682613279</v>
      </c>
      <c r="R17" s="4">
        <f t="shared" si="1"/>
        <v>219.99999050110992</v>
      </c>
      <c r="S17" s="4">
        <f t="shared" si="1"/>
        <v>213.33332420301261</v>
      </c>
      <c r="T17" s="4">
        <f t="shared" si="1"/>
        <v>206.66665793079622</v>
      </c>
      <c r="U17" s="4">
        <f t="shared" si="1"/>
        <v>199.99999168334259</v>
      </c>
      <c r="V17" s="4">
        <f t="shared" si="1"/>
        <v>193.33332545946342</v>
      </c>
      <c r="W17" s="4">
        <f t="shared" si="1"/>
        <v>186.66665925790363</v>
      </c>
      <c r="X17" s="4">
        <f t="shared" si="1"/>
        <v>179.99999307734473</v>
      </c>
      <c r="Y17" s="4">
        <f t="shared" si="1"/>
        <v>173.33332691640891</v>
      </c>
      <c r="Z17" s="4">
        <f t="shared" si="1"/>
        <v>166.6666607736625</v>
      </c>
      <c r="AA17" s="4">
        <f t="shared" si="1"/>
        <v>159.99999464762047</v>
      </c>
      <c r="AB17" s="4">
        <f t="shared" si="1"/>
        <v>153.33332853675034</v>
      </c>
      <c r="AC17" s="4">
        <f t="shared" si="1"/>
        <v>146.66666243947668</v>
      </c>
      <c r="AD17" s="4">
        <f t="shared" si="1"/>
        <v>139.99999635418541</v>
      </c>
      <c r="AE17" s="4">
        <f t="shared" si="1"/>
        <v>133.33333027922865</v>
      </c>
      <c r="AF17" s="4">
        <f t="shared" si="1"/>
        <v>126.66666421292902</v>
      </c>
      <c r="AG17" s="4">
        <f t="shared" si="1"/>
        <v>119.99999815358481</v>
      </c>
      <c r="AH17" s="4">
        <f t="shared" si="1"/>
        <v>113.33333209947445</v>
      </c>
      <c r="AI17" s="4">
        <f t="shared" si="1"/>
        <v>106.66666604886161</v>
      </c>
      <c r="AJ17" s="1"/>
    </row>
    <row r="18" spans="2:36" x14ac:dyDescent="0.3">
      <c r="B18">
        <f>(C9*C8*C4^2)/(2*C10)</f>
        <v>0.4333333333333334</v>
      </c>
      <c r="E18" s="5"/>
      <c r="F18">
        <f>C12*(C13-C14)</f>
        <v>92000</v>
      </c>
      <c r="G18">
        <f t="shared" ref="G18:AI18" si="2">-$C$10*((G14-F14))/$C$4</f>
        <v>92000.000000000262</v>
      </c>
      <c r="H18">
        <f t="shared" si="2"/>
        <v>91999.999545439714</v>
      </c>
      <c r="I18">
        <f t="shared" si="2"/>
        <v>91999.999092164871</v>
      </c>
      <c r="J18">
        <f t="shared" si="2"/>
        <v>91999.998641466911</v>
      </c>
      <c r="K18">
        <f t="shared" si="2"/>
        <v>91999.998194616623</v>
      </c>
      <c r="L18">
        <f t="shared" si="2"/>
        <v>91999.997752887153</v>
      </c>
      <c r="M18">
        <f t="shared" si="2"/>
        <v>91999.99731752419</v>
      </c>
      <c r="N18">
        <f t="shared" si="2"/>
        <v>91999.996889767935</v>
      </c>
      <c r="O18">
        <f t="shared" si="2"/>
        <v>91999.996470825252</v>
      </c>
      <c r="P18">
        <f t="shared" si="2"/>
        <v>91999.996061889266</v>
      </c>
      <c r="Q18">
        <f t="shared" si="2"/>
        <v>91999.995664113099</v>
      </c>
      <c r="R18">
        <f t="shared" si="2"/>
        <v>91999.995278630275</v>
      </c>
      <c r="S18">
        <f t="shared" si="2"/>
        <v>91999.994906528795</v>
      </c>
      <c r="T18">
        <f t="shared" si="2"/>
        <v>91999.994548866496</v>
      </c>
      <c r="U18">
        <f t="shared" si="2"/>
        <v>91999.994206655305</v>
      </c>
      <c r="V18">
        <f t="shared" si="2"/>
        <v>91999.993880866328</v>
      </c>
      <c r="W18">
        <f t="shared" si="2"/>
        <v>91999.993572422885</v>
      </c>
      <c r="X18">
        <f t="shared" si="2"/>
        <v>91999.993282198033</v>
      </c>
      <c r="Y18">
        <f t="shared" si="2"/>
        <v>91999.993011017417</v>
      </c>
      <c r="Z18">
        <f t="shared" si="2"/>
        <v>91999.992759645844</v>
      </c>
      <c r="AA18">
        <f t="shared" si="2"/>
        <v>91999.992528799514</v>
      </c>
      <c r="AB18">
        <f t="shared" si="2"/>
        <v>91999.992319129902</v>
      </c>
      <c r="AC18">
        <f t="shared" si="2"/>
        <v>91999.992131232793</v>
      </c>
      <c r="AD18">
        <f t="shared" si="2"/>
        <v>91999.991965640816</v>
      </c>
      <c r="AE18">
        <f t="shared" si="2"/>
        <v>91999.991822823067</v>
      </c>
      <c r="AF18">
        <f t="shared" si="2"/>
        <v>91999.991703184525</v>
      </c>
      <c r="AG18">
        <f t="shared" si="2"/>
        <v>91999.991607064047</v>
      </c>
      <c r="AH18">
        <f t="shared" si="2"/>
        <v>91999.991534734057</v>
      </c>
      <c r="AI18">
        <f t="shared" si="2"/>
        <v>91999.991486400453</v>
      </c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2021-03-03T19:57:22Z</dcterms:modified>
</cp:coreProperties>
</file>