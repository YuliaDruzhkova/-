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0" yWindow="108" windowWidth="15120" windowHeight="8016"/>
  </bookViews>
  <sheets>
    <sheet name="ro=const" sheetId="1" r:id="rId1"/>
    <sheet name="ro=var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P23" i="2"/>
  <c r="Q23" i="2"/>
  <c r="Q14" i="2" l="1"/>
  <c r="Q13" i="2"/>
  <c r="P13" i="2"/>
  <c r="O13" i="2"/>
  <c r="N13" i="2"/>
  <c r="N10" i="2" s="1"/>
  <c r="M13" i="2"/>
  <c r="L13" i="2"/>
  <c r="K13" i="2"/>
  <c r="K10" i="2" s="1"/>
  <c r="J13" i="2"/>
  <c r="J10" i="2" s="1"/>
  <c r="I13" i="2"/>
  <c r="H13" i="2"/>
  <c r="Q4" i="2"/>
  <c r="G4" i="2"/>
  <c r="C4" i="2"/>
  <c r="H3" i="2"/>
  <c r="I3" i="2" s="1"/>
  <c r="H2" i="2"/>
  <c r="I2" i="2" s="1"/>
  <c r="J2" i="2" s="1"/>
  <c r="K2" i="2" s="1"/>
  <c r="L2" i="2" s="1"/>
  <c r="M2" i="2" s="1"/>
  <c r="N2" i="2" s="1"/>
  <c r="O2" i="2" s="1"/>
  <c r="P2" i="2" s="1"/>
  <c r="Q2" i="2" s="1"/>
  <c r="O10" i="2" l="1"/>
  <c r="N11" i="2" s="1"/>
  <c r="H17" i="2"/>
  <c r="H21" i="2" s="1"/>
  <c r="H10" i="2"/>
  <c r="P17" i="2"/>
  <c r="P21" i="2" s="1"/>
  <c r="P10" i="2"/>
  <c r="I17" i="2"/>
  <c r="I18" i="2" s="1"/>
  <c r="I19" i="2" s="1"/>
  <c r="I10" i="2"/>
  <c r="I11" i="2" s="1"/>
  <c r="Q17" i="2"/>
  <c r="Q18" i="2" s="1"/>
  <c r="Q19" i="2" s="1"/>
  <c r="Q10" i="2"/>
  <c r="M17" i="2"/>
  <c r="M21" i="2" s="1"/>
  <c r="M10" i="2"/>
  <c r="M11" i="2" s="1"/>
  <c r="L17" i="2"/>
  <c r="L18" i="2" s="1"/>
  <c r="L19" i="2" s="1"/>
  <c r="L10" i="2"/>
  <c r="J11" i="2"/>
  <c r="J3" i="2"/>
  <c r="I4" i="2"/>
  <c r="K17" i="2"/>
  <c r="O17" i="2"/>
  <c r="H4" i="2"/>
  <c r="J17" i="2"/>
  <c r="N17" i="2"/>
  <c r="H18" i="2" l="1"/>
  <c r="H19" i="2" s="1"/>
  <c r="P18" i="2"/>
  <c r="P19" i="2" s="1"/>
  <c r="Q21" i="2"/>
  <c r="Q22" i="2" s="1"/>
  <c r="L11" i="2"/>
  <c r="Q15" i="2"/>
  <c r="M18" i="2"/>
  <c r="M19" i="2" s="1"/>
  <c r="P11" i="2"/>
  <c r="H11" i="2"/>
  <c r="H14" i="2" s="1"/>
  <c r="H15" i="2" s="1"/>
  <c r="O11" i="2"/>
  <c r="I21" i="2"/>
  <c r="I20" i="2" s="1"/>
  <c r="L21" i="2"/>
  <c r="L20" i="2" s="1"/>
  <c r="K11" i="2"/>
  <c r="J18" i="2"/>
  <c r="J19" i="2" s="1"/>
  <c r="J21" i="2"/>
  <c r="M20" i="2"/>
  <c r="M22" i="2"/>
  <c r="P20" i="2"/>
  <c r="P22" i="2"/>
  <c r="O18" i="2"/>
  <c r="O19" i="2" s="1"/>
  <c r="O21" i="2"/>
  <c r="H20" i="2"/>
  <c r="H22" i="2"/>
  <c r="N18" i="2"/>
  <c r="N19" i="2" s="1"/>
  <c r="N21" i="2"/>
  <c r="K18" i="2"/>
  <c r="K19" i="2" s="1"/>
  <c r="K21" i="2"/>
  <c r="G13" i="2"/>
  <c r="J4" i="2"/>
  <c r="I14" i="2" s="1"/>
  <c r="I15" i="2" s="1"/>
  <c r="K3" i="2"/>
  <c r="Q14" i="1"/>
  <c r="I13" i="1"/>
  <c r="I17" i="1" s="1"/>
  <c r="I18" i="1" s="1"/>
  <c r="J13" i="1"/>
  <c r="J17" i="1" s="1"/>
  <c r="J18" i="1" s="1"/>
  <c r="K13" i="1"/>
  <c r="L13" i="1"/>
  <c r="M13" i="1"/>
  <c r="M17" i="1" s="1"/>
  <c r="M18" i="1" s="1"/>
  <c r="N13" i="1"/>
  <c r="N17" i="1" s="1"/>
  <c r="N18" i="1" s="1"/>
  <c r="O13" i="1"/>
  <c r="P13" i="1"/>
  <c r="Q13" i="1"/>
  <c r="H13" i="1"/>
  <c r="Q4" i="1"/>
  <c r="G4" i="1"/>
  <c r="H3" i="1"/>
  <c r="I3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Q20" i="2" l="1"/>
  <c r="L22" i="2"/>
  <c r="I22" i="2"/>
  <c r="G10" i="2"/>
  <c r="G11" i="2" s="1"/>
  <c r="H23" i="2"/>
  <c r="K20" i="2"/>
  <c r="K22" i="2"/>
  <c r="N20" i="2"/>
  <c r="N22" i="2"/>
  <c r="J22" i="2"/>
  <c r="J20" i="2"/>
  <c r="O20" i="2"/>
  <c r="O22" i="2"/>
  <c r="J3" i="1"/>
  <c r="I4" i="1"/>
  <c r="H4" i="1"/>
  <c r="G13" i="1" s="1"/>
  <c r="G14" i="1" s="1"/>
  <c r="Q10" i="1"/>
  <c r="H10" i="1"/>
  <c r="K4" i="2"/>
  <c r="J14" i="2" s="1"/>
  <c r="L3" i="2"/>
  <c r="G14" i="2"/>
  <c r="G17" i="2"/>
  <c r="O17" i="1"/>
  <c r="O18" i="1" s="1"/>
  <c r="O19" i="1" s="1"/>
  <c r="M19" i="1"/>
  <c r="I19" i="1"/>
  <c r="K17" i="1"/>
  <c r="K18" i="1" s="1"/>
  <c r="K19" i="1" s="1"/>
  <c r="P17" i="1"/>
  <c r="P18" i="1" s="1"/>
  <c r="P19" i="1" s="1"/>
  <c r="L17" i="1"/>
  <c r="L18" i="1" s="1"/>
  <c r="L19" i="1" s="1"/>
  <c r="H17" i="1"/>
  <c r="H18" i="1" s="1"/>
  <c r="H19" i="1" s="1"/>
  <c r="N19" i="1"/>
  <c r="J19" i="1"/>
  <c r="I10" i="1"/>
  <c r="Q17" i="1"/>
  <c r="Q18" i="1" s="1"/>
  <c r="Q19" i="1" s="1"/>
  <c r="H11" i="1" l="1"/>
  <c r="H14" i="1" s="1"/>
  <c r="G17" i="1"/>
  <c r="G18" i="1" s="1"/>
  <c r="G19" i="1" s="1"/>
  <c r="G10" i="1"/>
  <c r="G11" i="1" s="1"/>
  <c r="G18" i="2"/>
  <c r="G19" i="2" s="1"/>
  <c r="G21" i="2"/>
  <c r="J15" i="2"/>
  <c r="K3" i="1"/>
  <c r="J4" i="1"/>
  <c r="J10" i="1" s="1"/>
  <c r="I11" i="1" s="1"/>
  <c r="I14" i="1" s="1"/>
  <c r="G15" i="2"/>
  <c r="M3" i="2"/>
  <c r="L4" i="2"/>
  <c r="K14" i="2" s="1"/>
  <c r="G22" i="2" l="1"/>
  <c r="G23" i="2" s="1"/>
  <c r="G20" i="2"/>
  <c r="K15" i="2"/>
  <c r="L3" i="1"/>
  <c r="K4" i="1"/>
  <c r="K10" i="1" s="1"/>
  <c r="N3" i="2"/>
  <c r="M4" i="2"/>
  <c r="M3" i="1" l="1"/>
  <c r="L4" i="1"/>
  <c r="L10" i="1" s="1"/>
  <c r="K11" i="1" s="1"/>
  <c r="K14" i="1" s="1"/>
  <c r="J11" i="1"/>
  <c r="J14" i="1" s="1"/>
  <c r="N4" i="2"/>
  <c r="O3" i="2"/>
  <c r="L14" i="2"/>
  <c r="L15" i="2" l="1"/>
  <c r="N3" i="1"/>
  <c r="M4" i="1"/>
  <c r="M10" i="1" s="1"/>
  <c r="L11" i="1" s="1"/>
  <c r="L14" i="1" s="1"/>
  <c r="O4" i="2"/>
  <c r="P3" i="2"/>
  <c r="P4" i="2" s="1"/>
  <c r="P14" i="2" s="1"/>
  <c r="M14" i="2"/>
  <c r="M15" i="2" l="1"/>
  <c r="P15" i="2"/>
  <c r="O3" i="1"/>
  <c r="N4" i="1"/>
  <c r="N10" i="1" s="1"/>
  <c r="M11" i="1" s="1"/>
  <c r="M14" i="1" s="1"/>
  <c r="O14" i="2"/>
  <c r="N14" i="2"/>
  <c r="N15" i="2" l="1"/>
  <c r="O15" i="2"/>
  <c r="P3" i="1"/>
  <c r="P4" i="1" s="1"/>
  <c r="P10" i="1" s="1"/>
  <c r="P11" i="1" s="1"/>
  <c r="P14" i="1" s="1"/>
  <c r="O4" i="1"/>
  <c r="O10" i="1" s="1"/>
  <c r="N11" i="1" s="1"/>
  <c r="N14" i="1" s="1"/>
  <c r="O11" i="1" l="1"/>
  <c r="O14" i="1" s="1"/>
</calcChain>
</file>

<file path=xl/sharedStrings.xml><?xml version="1.0" encoding="utf-8"?>
<sst xmlns="http://schemas.openxmlformats.org/spreadsheetml/2006/main" count="52" uniqueCount="22">
  <si>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</si>
  <si>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</si>
  <si>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</si>
  <si>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</si>
  <si>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</si>
  <si>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</si>
  <si>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</si>
  <si>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</si>
  <si>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</si>
  <si>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</si>
  <si>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</si>
  <si>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</si>
  <si>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</si>
  <si>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</si>
  <si>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</si>
  <si>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</si>
  <si>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</si>
  <si>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</si>
  <si>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</si>
  <si>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lambda</t>
  </si>
  <si>
    <t>Pi_lambda</t>
  </si>
  <si>
    <t>Tau_lambda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</si>
</sst>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Border="1"/>
    <xf numFmtId="164" fontId="0" fillId="0" borderId="1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72462817147857"/>
          <c:y val="0.12269280832112442"/>
          <c:w val="0.6566364829396325"/>
          <c:h val="0.70585910823415421"/>
        </c:manualLayout>
      </c:layout>
      <c:lineChart>
        <c:grouping val="standard"/>
        <c:varyColors val="0"/>
        <c:ser>
          <c:idx val="0"/>
          <c:order val="0"/>
          <c:tx>
            <c:v>R</c:v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85-414A-8022-0D94BDAD2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98944"/>
        <c:axId val="92500736"/>
      </c:lineChart>
      <c:catAx>
        <c:axId val="924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762870442171844"/>
              <c:y val="0.836156266233955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500736"/>
        <c:crosses val="autoZero"/>
        <c:auto val="1"/>
        <c:lblAlgn val="ctr"/>
        <c:lblOffset val="100"/>
        <c:noMultiLvlLbl val="0"/>
      </c:catAx>
      <c:valAx>
        <c:axId val="925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3888888888888884E-2"/>
              <c:y val="3.021252254513404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4989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348161481100551"/>
          <c:y val="0.90384916210899879"/>
          <c:w val="9.110311133967601E-2"/>
          <c:h val="6.7023400243983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92761774343422"/>
          <c:y val="0.1803554756997657"/>
          <c:w val="0.6619889225803296"/>
          <c:h val="0.60409583869130445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6-4E31-AC65-BAC67C2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22464"/>
        <c:axId val="107425152"/>
      </c:lineChart>
      <c:catAx>
        <c:axId val="1074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453587051618543"/>
              <c:y val="0.775372603121720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5152"/>
        <c:crosses val="autoZero"/>
        <c:auto val="1"/>
        <c:lblAlgn val="ctr"/>
        <c:lblOffset val="100"/>
        <c:noMultiLvlLbl val="0"/>
      </c:catAx>
      <c:valAx>
        <c:axId val="107425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G,</a:t>
                </a:r>
                <a:r>
                  <a:rPr lang="en-US" baseline="0"/>
                  <a:t> [</a:t>
                </a:r>
                <a:r>
                  <a:rPr lang="ru-RU" baseline="0"/>
                  <a:t>кг/с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444444444444443"/>
              <c:y val="6.8011590833025062E-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107422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913888888888887"/>
          <c:y val="0.88884465513572219"/>
          <c:w val="0.10086111111111111"/>
          <c:h val="8.42633428976084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83552055993001"/>
          <c:y val="0.14493252416141367"/>
          <c:w val="0.62226159230096234"/>
          <c:h val="0.63951904660566072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'ro=const'!$G$14:$Q$14</c:f>
              <c:numCache>
                <c:formatCode>General</c:formatCode>
                <c:ptCount val="11"/>
                <c:pt idx="0" formatCode="0">
                  <c:v>133051.52605921644</c:v>
                </c:pt>
                <c:pt idx="1">
                  <c:v>132585.00887496024</c:v>
                </c:pt>
                <c:pt idx="2">
                  <c:v>131975.33222654188</c:v>
                </c:pt>
                <c:pt idx="3">
                  <c:v>131167.0237309454</c:v>
                </c:pt>
                <c:pt idx="4">
                  <c:v>130077.43846014728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123463.63627072446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22-4FC1-8037-FD9289BE2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08768"/>
        <c:axId val="105185664"/>
      </c:lineChart>
      <c:catAx>
        <c:axId val="9260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3111220472440942"/>
              <c:y val="0.887208577026660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185664"/>
        <c:crosses val="autoZero"/>
        <c:auto val="1"/>
        <c:lblAlgn val="ctr"/>
        <c:lblOffset val="100"/>
        <c:noMultiLvlLbl val="0"/>
      </c:catAx>
      <c:valAx>
        <c:axId val="1051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0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P,[</a:t>
                </a:r>
                <a:r>
                  <a:rPr lang="ru-RU"/>
                  <a:t>Па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5555555555555556"/>
              <c:y val="2.852000792538397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6087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169072615923"/>
          <c:y val="0.1495923564074528"/>
          <c:w val="0.6364558180227472"/>
          <c:h val="0.63485921435962167"/>
        </c:manualLayout>
      </c:layout>
      <c:lineChart>
        <c:grouping val="standard"/>
        <c:varyColors val="0"/>
        <c:ser>
          <c:idx val="0"/>
          <c:order val="0"/>
          <c:tx>
            <c:v>U</c:v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'ro=const'!$G$13:$Q$13</c:f>
              <c:numCache>
                <c:formatCode>0.000</c:formatCode>
                <c:ptCount val="11"/>
                <c:pt idx="0" formatCode="General">
                  <c:v>57.345999103135519</c:v>
                </c:pt>
                <c:pt idx="1">
                  <c:v>63.541424071804343</c:v>
                </c:pt>
                <c:pt idx="2">
                  <c:v>70.80714265616993</c:v>
                </c:pt>
                <c:pt idx="3">
                  <c:v>79.397771984047765</c:v>
                </c:pt>
                <c:pt idx="4">
                  <c:v>89.653220428711691</c:v>
                </c:pt>
                <c:pt idx="5">
                  <c:v>102.02980327193542</c:v>
                </c:pt>
                <c:pt idx="6">
                  <c:v>117.15193281912278</c:v>
                </c:pt>
                <c:pt idx="7">
                  <c:v>135.89287838336543</c:v>
                </c:pt>
                <c:pt idx="8">
                  <c:v>159.50484154612215</c:v>
                </c:pt>
                <c:pt idx="9">
                  <c:v>189.83576989662194</c:v>
                </c:pt>
                <c:pt idx="10">
                  <c:v>229.70522138401481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E-4CD8-95FC-25028DF9A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62208"/>
        <c:axId val="208463744"/>
      </c:lineChart>
      <c:catAx>
        <c:axId val="2084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463744"/>
        <c:crosses val="autoZero"/>
        <c:auto val="1"/>
        <c:lblAlgn val="ctr"/>
        <c:lblOffset val="100"/>
        <c:noMultiLvlLbl val="0"/>
      </c:catAx>
      <c:valAx>
        <c:axId val="208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none"/>
                  <a:t>U, [</a:t>
                </a:r>
                <a:r>
                  <a:rPr lang="ru-RU" u="none"/>
                  <a:t>м/с</a:t>
                </a:r>
                <a:r>
                  <a:rPr lang="en-US" u="sng"/>
                  <a:t>]</a:t>
                </a:r>
                <a:endParaRPr lang="ru-RU" u="sng"/>
              </a:p>
            </c:rich>
          </c:tx>
          <c:layout>
            <c:manualLayout>
              <c:xMode val="edge"/>
              <c:yMode val="edge"/>
              <c:x val="6.9444444444444448E-2"/>
              <c:y val="4.016958854048183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46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72462817147857"/>
          <c:y val="0.12269280832112442"/>
          <c:w val="0.6566364829396325"/>
          <c:h val="0.70585910823415421"/>
        </c:manualLayout>
      </c:layout>
      <c:lineChart>
        <c:grouping val="standard"/>
        <c:varyColors val="0"/>
        <c:ser>
          <c:idx val="0"/>
          <c:order val="0"/>
          <c:tx>
            <c:v>R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2-4DED-A899-CF048D67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98944"/>
        <c:axId val="92500736"/>
      </c:lineChart>
      <c:catAx>
        <c:axId val="9249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762870442171844"/>
              <c:y val="0.836156266233955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500736"/>
        <c:crosses val="autoZero"/>
        <c:auto val="1"/>
        <c:lblAlgn val="ctr"/>
        <c:lblOffset val="100"/>
        <c:noMultiLvlLbl val="0"/>
      </c:catAx>
      <c:valAx>
        <c:axId val="925007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3888888888888884E-2"/>
              <c:y val="3.021252254513404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498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348161481100551"/>
          <c:y val="0.90384916210899879"/>
          <c:w val="9.110311133967601E-2"/>
          <c:h val="6.70234002439835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09951881014874"/>
          <c:y val="0.13561285966933534"/>
          <c:w val="0.61281714785651797"/>
          <c:h val="0.64883871109773916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'ro=var'!$G$10:$Q$10</c:f>
              <c:numCache>
                <c:formatCode>General</c:formatCode>
                <c:ptCount val="11"/>
                <c:pt idx="0">
                  <c:v>1.4279187123244734</c:v>
                </c:pt>
                <c:pt idx="1">
                  <c:v>1.4277523088708417</c:v>
                </c:pt>
                <c:pt idx="2">
                  <c:v>1.4185857356875906</c:v>
                </c:pt>
                <c:pt idx="3">
                  <c:v>1.4092906534403258</c:v>
                </c:pt>
                <c:pt idx="4">
                  <c:v>1.4001329060584888</c:v>
                </c:pt>
                <c:pt idx="5">
                  <c:v>1.391462205830339</c:v>
                </c:pt>
                <c:pt idx="6">
                  <c:v>1.383704469471766</c:v>
                </c:pt>
                <c:pt idx="7">
                  <c:v>1.3773245277094817</c:v>
                </c:pt>
                <c:pt idx="8">
                  <c:v>1.3727388722223695</c:v>
                </c:pt>
                <c:pt idx="9">
                  <c:v>1.370158034738578</c:v>
                </c:pt>
                <c:pt idx="10">
                  <c:v>1.3693545596890537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7-430E-BAA8-2C29FEED4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22464"/>
        <c:axId val="107425152"/>
      </c:lineChart>
      <c:catAx>
        <c:axId val="1074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453587051618543"/>
              <c:y val="0.775372603121720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5152"/>
        <c:crosses val="autoZero"/>
        <c:auto val="1"/>
        <c:lblAlgn val="ctr"/>
        <c:lblOffset val="100"/>
        <c:noMultiLvlLbl val="0"/>
      </c:catAx>
      <c:valAx>
        <c:axId val="107425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G,</a:t>
                </a:r>
                <a:r>
                  <a:rPr lang="en-US" baseline="0"/>
                  <a:t> [</a:t>
                </a:r>
                <a:r>
                  <a:rPr lang="ru-RU" baseline="0"/>
                  <a:t>кг/с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1944444444444445"/>
              <c:y val="8.3546756096308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2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913888888888887"/>
          <c:y val="0.88884465513572219"/>
          <c:w val="0.10086111111111111"/>
          <c:h val="8.42633428976084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83552055993001"/>
          <c:y val="0.14493252416141367"/>
          <c:w val="0.62226159230096234"/>
          <c:h val="0.63951904660566072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spPr>
            <a:ln w="28575" cap="rnd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'ro=var'!$G$14:$Q$14</c:f>
              <c:numCache>
                <c:formatCode>General</c:formatCode>
                <c:ptCount val="11"/>
                <c:pt idx="0">
                  <c:v>133442.41595588406</c:v>
                </c:pt>
                <c:pt idx="1">
                  <c:v>133062.96450060132</c:v>
                </c:pt>
                <c:pt idx="2">
                  <c:v>132597.93209688985</c:v>
                </c:pt>
                <c:pt idx="3">
                  <c:v>131982.72918750599</c:v>
                </c:pt>
                <c:pt idx="4">
                  <c:v>131150.8809011901</c:v>
                </c:pt>
                <c:pt idx="5">
                  <c:v>129996.10833211962</c:v>
                </c:pt>
                <c:pt idx="6">
                  <c:v>128340.38689110588</c:v>
                </c:pt>
                <c:pt idx="7">
                  <c:v>125866.9090444013</c:v>
                </c:pt>
                <c:pt idx="8">
                  <c:v>121960.81684225469</c:v>
                </c:pt>
                <c:pt idx="9">
                  <c:v>115240.11897823986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3-492F-99C9-F11F9F2C2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08768"/>
        <c:axId val="105185664"/>
      </c:lineChart>
      <c:catAx>
        <c:axId val="9260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3111220472440942"/>
              <c:y val="0.887208577026660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185664"/>
        <c:crosses val="autoZero"/>
        <c:auto val="1"/>
        <c:lblAlgn val="ctr"/>
        <c:lblOffset val="100"/>
        <c:noMultiLvlLbl val="0"/>
      </c:catAx>
      <c:valAx>
        <c:axId val="1051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0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P,[</a:t>
                </a:r>
                <a:r>
                  <a:rPr lang="ru-RU"/>
                  <a:t>Па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5555555555555556"/>
              <c:y val="2.852000792538397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6087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169072615923"/>
          <c:y val="0.1495923564074528"/>
          <c:w val="0.6364558180227472"/>
          <c:h val="0.63485921435962167"/>
        </c:manualLayout>
      </c:layout>
      <c:lineChart>
        <c:grouping val="standard"/>
        <c:varyColors val="0"/>
        <c:ser>
          <c:idx val="0"/>
          <c:order val="0"/>
          <c:tx>
            <c:v>U</c:v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'ro=var'!$G$13:$Q$13</c:f>
              <c:numCache>
                <c:formatCode>General</c:formatCode>
                <c:ptCount val="11"/>
                <c:pt idx="0">
                  <c:v>43.86396103349184</c:v>
                </c:pt>
                <c:pt idx="1">
                  <c:v>48.697872413049247</c:v>
                </c:pt>
                <c:pt idx="2">
                  <c:v>54.048188393553183</c:v>
                </c:pt>
                <c:pt idx="3">
                  <c:v>60.401044127623123</c:v>
                </c:pt>
                <c:pt idx="4">
                  <c:v>68.057157207299497</c:v>
                </c:pt>
                <c:pt idx="5">
                  <c:v>77.453137712924303</c:v>
                </c:pt>
                <c:pt idx="6">
                  <c:v>89.250526835377315</c:v>
                </c:pt>
                <c:pt idx="7">
                  <c:v>104.5127142453522</c:v>
                </c:pt>
                <c:pt idx="8">
                  <c:v>125.1132673567311</c:v>
                </c:pt>
                <c:pt idx="9">
                  <c:v>154.94864567907339</c:v>
                </c:pt>
                <c:pt idx="10">
                  <c:v>206.02853770702052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D8-496E-BA7C-3A564A372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62208"/>
        <c:axId val="208463744"/>
      </c:lineChart>
      <c:catAx>
        <c:axId val="2084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463744"/>
        <c:crosses val="autoZero"/>
        <c:auto val="1"/>
        <c:lblAlgn val="ctr"/>
        <c:lblOffset val="100"/>
        <c:noMultiLvlLbl val="0"/>
      </c:catAx>
      <c:valAx>
        <c:axId val="208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none"/>
                  <a:t>U, [</a:t>
                </a:r>
                <a:r>
                  <a:rPr lang="ru-RU" u="none"/>
                  <a:t>м</a:t>
                </a:r>
                <a:r>
                  <a:rPr lang="en-US" u="none"/>
                  <a:t>/c]</a:t>
                </a:r>
                <a:endParaRPr lang="ru-RU" u="none"/>
              </a:p>
            </c:rich>
          </c:tx>
          <c:layout>
            <c:manualLayout>
              <c:xMode val="edge"/>
              <c:yMode val="edge"/>
              <c:x val="5.8333333333333334E-2"/>
              <c:y val="3.55097562944426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46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107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1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8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2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1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8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2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593090</xdr:colOff>
      <xdr:row>19</xdr:row>
      <xdr:rowOff>167640</xdr:rowOff>
    </xdr:from>
    <xdr:to>
      <xdr:col>9</xdr:col>
      <xdr:colOff>45720</xdr:colOff>
      <xdr:row>38</xdr:row>
      <xdr:rowOff>119380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20</xdr:row>
      <xdr:rowOff>15240</xdr:rowOff>
    </xdr:from>
    <xdr:to>
      <xdr:col>18</xdr:col>
      <xdr:colOff>30480</xdr:colOff>
      <xdr:row>38</xdr:row>
      <xdr:rowOff>129540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599440</xdr:colOff>
      <xdr:row>40</xdr:row>
      <xdr:rowOff>5080</xdr:rowOff>
    </xdr:from>
    <xdr:to>
      <xdr:col>8</xdr:col>
      <xdr:colOff>294640</xdr:colOff>
      <xdr:row>54</xdr:row>
      <xdr:rowOff>170180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556260</xdr:colOff>
      <xdr:row>40</xdr:row>
      <xdr:rowOff>13970</xdr:rowOff>
    </xdr:from>
    <xdr:to>
      <xdr:col>17</xdr:col>
      <xdr:colOff>579120</xdr:colOff>
      <xdr:row>54</xdr:row>
      <xdr:rowOff>179070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0</xdr:rowOff>
    </xdr:from>
    <xdr:to>
      <xdr:col>8</xdr:col>
      <xdr:colOff>527050</xdr:colOff>
      <xdr:row>43</xdr:row>
      <xdr:rowOff>134620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17</xdr:col>
      <xdr:colOff>304800</xdr:colOff>
      <xdr:row>39</xdr:row>
      <xdr:rowOff>165100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160020</xdr:colOff>
      <xdr:row>60</xdr:row>
      <xdr:rowOff>165100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46</xdr:row>
      <xdr:rowOff>0</xdr:rowOff>
    </xdr:from>
    <xdr:to>
      <xdr:col>17</xdr:col>
      <xdr:colOff>304800</xdr:colOff>
      <xdr:row>60</xdr:row>
      <xdr:rowOff>165100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Q24"/>
  <sheetViews>
    <sheetView tabSelected="1" topLeftCell="A20" workbookViewId="0">
      <selection activeCell="U26" sqref="U26"/>
    </sheetView>
  </sheetViews>
  <sheetFormatPr defaultRowHeight="14.4" x14ac:dyDescent="0.3"/>
  <sheetData>
    <row r="1" spans="2:17" x14ac:dyDescent="0.3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2" t="s">
        <v>0</v>
      </c>
      <c r="C3" s="2">
        <v>0.1</v>
      </c>
      <c r="F3" s="2" t="s">
        <v>3</v>
      </c>
      <c r="G3" s="3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3">
        <v>0.04</v>
      </c>
    </row>
    <row r="4" spans="2:17" x14ac:dyDescent="0.3">
      <c r="B4" s="2" t="s">
        <v>1</v>
      </c>
      <c r="C4" s="2">
        <f>C3/10</f>
        <v>0.01</v>
      </c>
      <c r="F4" s="2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B5" s="5"/>
      <c r="C5" s="5"/>
      <c r="F5" s="2" t="s">
        <v>12</v>
      </c>
      <c r="G5" s="4">
        <v>57.345863662693617</v>
      </c>
      <c r="H5" s="4">
        <v>63.541273244471491</v>
      </c>
      <c r="I5" s="4">
        <v>70.806929022965377</v>
      </c>
      <c r="J5" s="4">
        <v>79.397519650294129</v>
      </c>
      <c r="K5" s="4">
        <v>89.652956402094503</v>
      </c>
      <c r="L5" s="4">
        <v>102.02955520689169</v>
      </c>
      <c r="M5" s="4">
        <v>117.15172537059544</v>
      </c>
      <c r="N5" s="4">
        <v>135.8927282316663</v>
      </c>
      <c r="O5" s="4">
        <v>159.50475198776715</v>
      </c>
      <c r="P5" s="4">
        <v>189.83572747710332</v>
      </c>
      <c r="Q5" s="4">
        <v>229.70519916278516</v>
      </c>
    </row>
    <row r="6" spans="2:17" x14ac:dyDescent="0.3">
      <c r="B6" s="7" t="s">
        <v>2</v>
      </c>
      <c r="C6" s="7">
        <v>1.4</v>
      </c>
      <c r="F6" s="2" t="s">
        <v>6</v>
      </c>
      <c r="G6" s="14">
        <v>133051.53526306202</v>
      </c>
      <c r="H6" s="14">
        <v>132585.0204570019</v>
      </c>
      <c r="I6" s="14">
        <v>131975.35096062184</v>
      </c>
      <c r="J6" s="14">
        <v>131167.04864642158</v>
      </c>
      <c r="K6" s="14">
        <v>130077.46773118924</v>
      </c>
      <c r="L6" s="14">
        <v>128581.01478432902</v>
      </c>
      <c r="M6" s="14">
        <v>126481.62501993927</v>
      </c>
      <c r="N6" s="14">
        <v>123463.65894101333</v>
      </c>
      <c r="O6" s="14">
        <v>119000.64254371547</v>
      </c>
      <c r="P6" s="14">
        <v>112177.50864414575</v>
      </c>
      <c r="Q6" s="14">
        <v>101325</v>
      </c>
    </row>
    <row r="7" spans="2:17" x14ac:dyDescent="0.3">
      <c r="B7" s="7" t="s">
        <v>3</v>
      </c>
      <c r="C7" s="7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x14ac:dyDescent="0.3">
      <c r="B8" s="7" t="s">
        <v>4</v>
      </c>
      <c r="C8" s="7">
        <v>1004.4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2:17" x14ac:dyDescent="0.3">
      <c r="B9" s="5"/>
      <c r="C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x14ac:dyDescent="0.3">
      <c r="B10" s="8" t="s">
        <v>5</v>
      </c>
      <c r="C10" s="8">
        <v>135000</v>
      </c>
      <c r="F10" s="2" t="s">
        <v>14</v>
      </c>
      <c r="G10" s="4">
        <f>G4*G7*G13</f>
        <v>1.3663165238514254</v>
      </c>
      <c r="H10" s="4">
        <f>H4*H7*H13</f>
        <v>1.3663197670643263</v>
      </c>
      <c r="I10" s="4">
        <f t="shared" ref="I10:Q10" si="3">I4*I7*I13</f>
        <v>1.3665020425140293</v>
      </c>
      <c r="J10" s="4">
        <f t="shared" si="3"/>
        <v>1.3667666214711018</v>
      </c>
      <c r="K10" s="4">
        <f t="shared" si="3"/>
        <v>1.3670804272061059</v>
      </c>
      <c r="L10" s="4">
        <f t="shared" si="3"/>
        <v>1.3674069190133782</v>
      </c>
      <c r="M10" s="4">
        <f t="shared" si="3"/>
        <v>1.3677090959522973</v>
      </c>
      <c r="N10" s="4">
        <f t="shared" si="3"/>
        <v>1.3679543599839599</v>
      </c>
      <c r="O10" s="4">
        <f t="shared" si="3"/>
        <v>1.3681211846855306</v>
      </c>
      <c r="P10" s="4">
        <f t="shared" si="3"/>
        <v>1.3682064201253556</v>
      </c>
      <c r="Q10" s="4">
        <f t="shared" si="3"/>
        <v>1.3682298874393872</v>
      </c>
    </row>
    <row r="11" spans="2:17" x14ac:dyDescent="0.3">
      <c r="B11" s="8" t="s">
        <v>7</v>
      </c>
      <c r="C11" s="8">
        <v>288.16000000000003</v>
      </c>
      <c r="F11" s="2" t="s">
        <v>15</v>
      </c>
      <c r="G11" s="4">
        <f>G13*(G10-H10)</f>
        <v>-1.8598528410658914E-4</v>
      </c>
      <c r="H11" s="12">
        <f>H13*(H10-I10)</f>
        <v>-1.1582041647454057E-2</v>
      </c>
      <c r="I11" s="12">
        <f t="shared" ref="I11:P11" si="4">I13*(I10-J10)</f>
        <v>-1.8734079957256542E-2</v>
      </c>
      <c r="J11" s="12">
        <f t="shared" si="4"/>
        <v>-2.491547619513871E-2</v>
      </c>
      <c r="K11" s="12">
        <f t="shared" si="4"/>
        <v>-2.927104196555097E-2</v>
      </c>
      <c r="L11" s="12">
        <f t="shared" si="4"/>
        <v>-3.0831053631231058E-2</v>
      </c>
      <c r="M11" s="12">
        <f t="shared" si="4"/>
        <v>-2.8733155360282273E-2</v>
      </c>
      <c r="N11" s="12">
        <f t="shared" si="4"/>
        <v>-2.2670288881888406E-2</v>
      </c>
      <c r="O11" s="12">
        <f t="shared" si="4"/>
        <v>-1.3595465323413746E-2</v>
      </c>
      <c r="P11" s="12">
        <f t="shared" si="4"/>
        <v>-4.4549356265903622E-3</v>
      </c>
      <c r="Q11" s="6">
        <v>0</v>
      </c>
    </row>
    <row r="12" spans="2:17" x14ac:dyDescent="0.3">
      <c r="B12" s="8" t="s">
        <v>6</v>
      </c>
      <c r="C12" s="8">
        <v>101325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x14ac:dyDescent="0.3">
      <c r="B13" s="5"/>
      <c r="C13" s="5"/>
      <c r="F13" s="2" t="s">
        <v>12</v>
      </c>
      <c r="G13" s="6">
        <f>(H4*H5*H7)/(G4*G7)</f>
        <v>57.345999103135519</v>
      </c>
      <c r="H13" s="4">
        <f>((G6-H6)/H7+G5*H5)^0.5</f>
        <v>63.541424071804343</v>
      </c>
      <c r="I13" s="4">
        <f t="shared" ref="I13:Q13" si="5">((H6-I6)/I7+H5*I5)^0.5</f>
        <v>70.80714265616993</v>
      </c>
      <c r="J13" s="4">
        <f t="shared" si="5"/>
        <v>79.397771984047765</v>
      </c>
      <c r="K13" s="4">
        <f t="shared" si="5"/>
        <v>89.653220428711691</v>
      </c>
      <c r="L13" s="4">
        <f t="shared" si="5"/>
        <v>102.02980327193542</v>
      </c>
      <c r="M13" s="4">
        <f t="shared" si="5"/>
        <v>117.15193281912278</v>
      </c>
      <c r="N13" s="4">
        <f t="shared" si="5"/>
        <v>135.89287838336543</v>
      </c>
      <c r="O13" s="4">
        <f t="shared" si="5"/>
        <v>159.50484154612215</v>
      </c>
      <c r="P13" s="4">
        <f t="shared" si="5"/>
        <v>189.83576989662194</v>
      </c>
      <c r="Q13" s="4">
        <f t="shared" si="5"/>
        <v>229.70522138401481</v>
      </c>
    </row>
    <row r="14" spans="2:17" x14ac:dyDescent="0.3">
      <c r="B14" s="9" t="s">
        <v>8</v>
      </c>
      <c r="C14" s="9">
        <v>2000</v>
      </c>
      <c r="F14" s="2" t="s">
        <v>6</v>
      </c>
      <c r="G14" s="13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6">
        <f t="shared" si="6"/>
        <v>101325</v>
      </c>
    </row>
    <row r="15" spans="2:17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6" spans="2:17" x14ac:dyDescent="0.3"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6:17" x14ac:dyDescent="0.3">
      <c r="F17" s="2" t="s">
        <v>16</v>
      </c>
      <c r="G17" s="10">
        <f>$C$11-(G13^2)/(2*$C$8)</f>
        <v>286.52292133953767</v>
      </c>
      <c r="H17" s="10">
        <f t="shared" ref="H17:Q17" si="7">$C$11-(H13^2)/(2*$C$8)</f>
        <v>286.15008732921507</v>
      </c>
      <c r="I17" s="10">
        <f t="shared" si="7"/>
        <v>285.66415598808686</v>
      </c>
      <c r="J17" s="10">
        <f t="shared" si="7"/>
        <v>285.0218049601599</v>
      </c>
      <c r="K17" s="10">
        <f t="shared" si="7"/>
        <v>284.15875550914024</v>
      </c>
      <c r="L17" s="10">
        <f t="shared" si="7"/>
        <v>282.97776147166974</v>
      </c>
      <c r="M17" s="10">
        <f t="shared" si="7"/>
        <v>281.32777411227789</v>
      </c>
      <c r="N17" s="10">
        <f t="shared" si="7"/>
        <v>278.96701194976299</v>
      </c>
      <c r="O17" s="10">
        <f t="shared" si="7"/>
        <v>275.49482951182125</v>
      </c>
      <c r="P17" s="10">
        <f t="shared" si="7"/>
        <v>270.22012568088252</v>
      </c>
      <c r="Q17" s="10">
        <f t="shared" si="7"/>
        <v>261.89332898691794</v>
      </c>
    </row>
    <row r="18" spans="6:17" x14ac:dyDescent="0.3">
      <c r="F18" s="2" t="s">
        <v>17</v>
      </c>
      <c r="G18" s="11">
        <f>SQRT($C$6*$C$7*G17)</f>
        <v>339.28406696411446</v>
      </c>
      <c r="H18" s="11">
        <f t="shared" ref="H18:Q18" si="8">SQRT($C$6*$C$7*H17)</f>
        <v>339.06325074454071</v>
      </c>
      <c r="I18" s="11">
        <f t="shared" si="8"/>
        <v>338.77523498788776</v>
      </c>
      <c r="J18" s="11">
        <f t="shared" si="8"/>
        <v>338.39413171365396</v>
      </c>
      <c r="K18" s="11">
        <f t="shared" si="8"/>
        <v>337.88141254048969</v>
      </c>
      <c r="L18" s="11">
        <f t="shared" si="8"/>
        <v>337.17854592347243</v>
      </c>
      <c r="M18" s="11">
        <f t="shared" si="8"/>
        <v>336.19409808854175</v>
      </c>
      <c r="N18" s="11">
        <f t="shared" si="8"/>
        <v>334.78053989822394</v>
      </c>
      <c r="O18" s="11">
        <f t="shared" si="8"/>
        <v>332.69058162282397</v>
      </c>
      <c r="P18" s="11">
        <f t="shared" si="8"/>
        <v>329.49029404468337</v>
      </c>
      <c r="Q18" s="11">
        <f t="shared" si="8"/>
        <v>324.37397147189125</v>
      </c>
    </row>
    <row r="19" spans="6:17" x14ac:dyDescent="0.3">
      <c r="F19" s="2" t="s">
        <v>18</v>
      </c>
      <c r="G19" s="12">
        <f>G13/G18</f>
        <v>0.16902060746990785</v>
      </c>
      <c r="H19" s="12">
        <f>H13/H18</f>
        <v>0.18740286342526147</v>
      </c>
      <c r="I19" s="12">
        <f t="shared" ref="I19:Q19" si="9">I13/I18</f>
        <v>0.20900920534731973</v>
      </c>
      <c r="J19" s="12">
        <f t="shared" si="9"/>
        <v>0.23463105456933112</v>
      </c>
      <c r="K19" s="12">
        <f t="shared" si="9"/>
        <v>0.26533930870780936</v>
      </c>
      <c r="L19" s="12">
        <f t="shared" si="9"/>
        <v>0.30259874035726037</v>
      </c>
      <c r="M19" s="12">
        <f t="shared" si="9"/>
        <v>0.34846516784559695</v>
      </c>
      <c r="N19" s="12">
        <f t="shared" si="9"/>
        <v>0.40591630094353154</v>
      </c>
      <c r="O19" s="12">
        <f t="shared" si="9"/>
        <v>0.47943900536070794</v>
      </c>
      <c r="P19" s="12">
        <f t="shared" si="9"/>
        <v>0.57614980874331201</v>
      </c>
      <c r="Q19" s="12">
        <f t="shared" si="9"/>
        <v>0.70814936334655942</v>
      </c>
    </row>
    <row r="20" spans="6:17" x14ac:dyDescent="0.3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6:17" x14ac:dyDescent="0.3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6:17" x14ac:dyDescent="0.3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6:17" x14ac:dyDescent="0.3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6:17" x14ac:dyDescent="0.3"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23"/>
  <sheetViews>
    <sheetView topLeftCell="A16" workbookViewId="0">
      <selection activeCell="M44" sqref="M44"/>
    </sheetView>
  </sheetViews>
  <sheetFormatPr defaultRowHeight="14.4" x14ac:dyDescent="0.3"/>
  <cols>
    <col min="4" max="5" width="8.88671875" customWidth="1"/>
    <col min="6" max="6" width="11" customWidth="1"/>
    <col min="7" max="13" width="8.88671875" customWidth="1"/>
  </cols>
  <sheetData>
    <row r="1" spans="2:17" x14ac:dyDescent="0.3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2" t="s">
        <v>0</v>
      </c>
      <c r="C3" s="2">
        <v>0.1</v>
      </c>
      <c r="F3" s="2" t="s">
        <v>3</v>
      </c>
      <c r="G3" s="3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3">
        <v>0.04</v>
      </c>
    </row>
    <row r="4" spans="2:17" x14ac:dyDescent="0.3">
      <c r="B4" s="2" t="s">
        <v>1</v>
      </c>
      <c r="C4" s="2">
        <f>C3/10</f>
        <v>0.01</v>
      </c>
      <c r="F4" s="2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B5" s="5"/>
      <c r="C5" s="5"/>
      <c r="F5" s="2" t="s">
        <v>12</v>
      </c>
      <c r="G5" s="4">
        <v>43.869060013579258</v>
      </c>
      <c r="H5" s="4">
        <v>48.703548113311612</v>
      </c>
      <c r="I5" s="4">
        <v>54.053972060265821</v>
      </c>
      <c r="J5" s="4">
        <v>60.40679175342359</v>
      </c>
      <c r="K5" s="4">
        <v>68.062676731536115</v>
      </c>
      <c r="L5" s="4">
        <v>77.458191697072792</v>
      </c>
      <c r="M5" s="4">
        <v>89.254850162333994</v>
      </c>
      <c r="N5" s="4">
        <v>104.51605716324556</v>
      </c>
      <c r="O5" s="4">
        <v>125.11547462041946</v>
      </c>
      <c r="P5" s="4">
        <v>154.94977744032931</v>
      </c>
      <c r="Q5" s="4">
        <v>206.02906416254959</v>
      </c>
    </row>
    <row r="6" spans="2:17" x14ac:dyDescent="0.3">
      <c r="B6" s="7" t="s">
        <v>2</v>
      </c>
      <c r="C6" s="7">
        <v>1.4</v>
      </c>
      <c r="F6" s="2" t="s">
        <v>6</v>
      </c>
      <c r="G6" s="14">
        <v>133442.05680145681</v>
      </c>
      <c r="H6" s="14">
        <v>133062.51810798998</v>
      </c>
      <c r="I6" s="14">
        <v>132597.42971453341</v>
      </c>
      <c r="J6" s="14">
        <v>131982.17605000228</v>
      </c>
      <c r="K6" s="14">
        <v>131150.29079798158</v>
      </c>
      <c r="L6" s="14">
        <v>129995.50747109709</v>
      </c>
      <c r="M6" s="14">
        <v>128339.81747794242</v>
      </c>
      <c r="N6" s="14">
        <v>125866.42978509974</v>
      </c>
      <c r="O6" s="14">
        <v>121960.49394524457</v>
      </c>
      <c r="P6" s="14">
        <v>115239.99448086909</v>
      </c>
      <c r="Q6" s="14">
        <v>101325</v>
      </c>
    </row>
    <row r="7" spans="2:17" x14ac:dyDescent="0.3">
      <c r="B7" s="7" t="s">
        <v>3</v>
      </c>
      <c r="C7" s="7">
        <v>286.97199999999998</v>
      </c>
      <c r="F7" s="2" t="s">
        <v>13</v>
      </c>
      <c r="G7" s="2">
        <v>1.6190706166100397</v>
      </c>
      <c r="H7" s="2">
        <v>1.6157189788109567</v>
      </c>
      <c r="I7" s="2">
        <v>1.6116086188413932</v>
      </c>
      <c r="J7" s="2">
        <v>1.6061585998499734</v>
      </c>
      <c r="K7" s="2">
        <v>1.5987687010375642</v>
      </c>
      <c r="L7" s="2">
        <v>1.5884736867477267</v>
      </c>
      <c r="M7" s="2">
        <v>1.5736445016712375</v>
      </c>
      <c r="N7" s="2">
        <v>1.5513528750506251</v>
      </c>
      <c r="O7" s="2">
        <v>1.515836005214779</v>
      </c>
      <c r="P7" s="2">
        <v>1.4538769507971758</v>
      </c>
      <c r="Q7" s="2">
        <v>1.3222655308184543</v>
      </c>
    </row>
    <row r="8" spans="2:17" x14ac:dyDescent="0.3">
      <c r="B8" s="7" t="s">
        <v>4</v>
      </c>
      <c r="C8" s="7">
        <v>1004.4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2:17" x14ac:dyDescent="0.3">
      <c r="B9" s="5"/>
      <c r="C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x14ac:dyDescent="0.3">
      <c r="B10" s="8" t="s">
        <v>5</v>
      </c>
      <c r="C10" s="8">
        <v>135000</v>
      </c>
      <c r="F10" s="2" t="s">
        <v>14</v>
      </c>
      <c r="G10" s="4">
        <f>G4*G7*G13</f>
        <v>1.4279187123244734</v>
      </c>
      <c r="H10" s="4">
        <f>H4*H7*H13</f>
        <v>1.4277523088708417</v>
      </c>
      <c r="I10" s="4">
        <f t="shared" ref="I10:Q10" si="3">I4*I7*I13</f>
        <v>1.4185857356875906</v>
      </c>
      <c r="J10" s="4">
        <f t="shared" si="3"/>
        <v>1.4092906534403258</v>
      </c>
      <c r="K10" s="4">
        <f t="shared" si="3"/>
        <v>1.4001329060584888</v>
      </c>
      <c r="L10" s="4">
        <f t="shared" si="3"/>
        <v>1.391462205830339</v>
      </c>
      <c r="M10" s="4">
        <f t="shared" si="3"/>
        <v>1.383704469471766</v>
      </c>
      <c r="N10" s="4">
        <f t="shared" si="3"/>
        <v>1.3773245277094817</v>
      </c>
      <c r="O10" s="4">
        <f t="shared" si="3"/>
        <v>1.3727388722223695</v>
      </c>
      <c r="P10" s="4">
        <f t="shared" si="3"/>
        <v>1.370158034738578</v>
      </c>
      <c r="Q10" s="4">
        <f t="shared" si="3"/>
        <v>1.3693545596890537</v>
      </c>
    </row>
    <row r="11" spans="2:17" x14ac:dyDescent="0.3">
      <c r="B11" s="8" t="s">
        <v>7</v>
      </c>
      <c r="C11" s="8">
        <v>288.16000000000003</v>
      </c>
      <c r="F11" s="2" t="s">
        <v>15</v>
      </c>
      <c r="G11" s="4">
        <f>G13*(G10-H10)</f>
        <v>7.2991146059404486E-3</v>
      </c>
      <c r="H11" s="12">
        <f>H13*(H10-I10)</f>
        <v>0.44639261134284036</v>
      </c>
      <c r="I11" s="12">
        <f t="shared" ref="I11:P11" si="4">I13*(I10-J10)</f>
        <v>0.50238235643374118</v>
      </c>
      <c r="J11" s="12">
        <f t="shared" si="4"/>
        <v>0.5531375037199584</v>
      </c>
      <c r="K11" s="12">
        <f t="shared" si="4"/>
        <v>0.59010320852456288</v>
      </c>
      <c r="L11" s="12">
        <f t="shared" si="4"/>
        <v>0.60086102252111595</v>
      </c>
      <c r="M11" s="12">
        <f t="shared" si="4"/>
        <v>0.56941316346289861</v>
      </c>
      <c r="N11" s="12">
        <f t="shared" si="4"/>
        <v>0.47925930155218932</v>
      </c>
      <c r="O11" s="12">
        <f t="shared" si="4"/>
        <v>0.32289701011387334</v>
      </c>
      <c r="P11" s="12">
        <f t="shared" si="4"/>
        <v>0.12449737076071229</v>
      </c>
      <c r="Q11" s="6">
        <v>0</v>
      </c>
    </row>
    <row r="12" spans="2:17" x14ac:dyDescent="0.3">
      <c r="B12" s="8" t="s">
        <v>6</v>
      </c>
      <c r="C12" s="8">
        <v>101325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x14ac:dyDescent="0.3">
      <c r="B13" s="5"/>
      <c r="C13" s="5"/>
      <c r="F13" s="2" t="s">
        <v>12</v>
      </c>
      <c r="G13" s="6">
        <f>(H4*H5*H7)/(G4*G7)</f>
        <v>43.86396103349184</v>
      </c>
      <c r="H13" s="2">
        <f>((G6-H6)/H7+G5*H5)^0.5</f>
        <v>48.697872413049247</v>
      </c>
      <c r="I13" s="2">
        <f t="shared" ref="I13:Q13" si="5">((H6-I6)/I7+H5*I5)^0.5</f>
        <v>54.048188393553183</v>
      </c>
      <c r="J13" s="2">
        <f t="shared" si="5"/>
        <v>60.401044127623123</v>
      </c>
      <c r="K13" s="2">
        <f t="shared" si="5"/>
        <v>68.057157207299497</v>
      </c>
      <c r="L13" s="2">
        <f t="shared" si="5"/>
        <v>77.453137712924303</v>
      </c>
      <c r="M13" s="2">
        <f t="shared" si="5"/>
        <v>89.250526835377315</v>
      </c>
      <c r="N13" s="2">
        <f t="shared" si="5"/>
        <v>104.5127142453522</v>
      </c>
      <c r="O13" s="2">
        <f t="shared" si="5"/>
        <v>125.1132673567311</v>
      </c>
      <c r="P13" s="2">
        <f t="shared" si="5"/>
        <v>154.94864567907339</v>
      </c>
      <c r="Q13" s="2">
        <f t="shared" si="5"/>
        <v>206.02853770702052</v>
      </c>
    </row>
    <row r="14" spans="2:17" x14ac:dyDescent="0.3">
      <c r="B14" s="9" t="s">
        <v>8</v>
      </c>
      <c r="C14" s="9">
        <v>1000</v>
      </c>
      <c r="F14" s="2" t="s">
        <v>6</v>
      </c>
      <c r="G14" s="6">
        <f>C10-(G7*G13^2)/2</f>
        <v>133442.41595588406</v>
      </c>
      <c r="H14" s="2">
        <f>H6+H11</f>
        <v>133062.96450060132</v>
      </c>
      <c r="I14" s="2">
        <f t="shared" ref="I14:Q14" si="6">I6+I11</f>
        <v>132597.93209688985</v>
      </c>
      <c r="J14" s="2">
        <f t="shared" si="6"/>
        <v>131982.72918750599</v>
      </c>
      <c r="K14" s="2">
        <f t="shared" si="6"/>
        <v>131150.8809011901</v>
      </c>
      <c r="L14" s="2">
        <f t="shared" si="6"/>
        <v>129996.10833211962</v>
      </c>
      <c r="M14" s="2">
        <f t="shared" si="6"/>
        <v>128340.38689110588</v>
      </c>
      <c r="N14" s="2">
        <f t="shared" si="6"/>
        <v>125866.9090444013</v>
      </c>
      <c r="O14" s="2">
        <f t="shared" si="6"/>
        <v>121960.81684225469</v>
      </c>
      <c r="P14" s="2">
        <f t="shared" si="6"/>
        <v>115240.11897823986</v>
      </c>
      <c r="Q14" s="6">
        <f t="shared" si="6"/>
        <v>101325</v>
      </c>
    </row>
    <row r="15" spans="2:17" x14ac:dyDescent="0.3">
      <c r="F15" s="2" t="s">
        <v>13</v>
      </c>
      <c r="G15" s="4">
        <f>G14/($C$7*G17)</f>
        <v>1.6190737188599107</v>
      </c>
      <c r="H15" s="4">
        <f t="shared" ref="H15:Q15" si="7">H14/($C$7*H17)</f>
        <v>1.6157228497544411</v>
      </c>
      <c r="I15" s="4">
        <f t="shared" si="7"/>
        <v>1.6116129753229784</v>
      </c>
      <c r="J15" s="4">
        <f t="shared" si="7"/>
        <v>1.6061633923905116</v>
      </c>
      <c r="K15" s="4">
        <f t="shared" si="7"/>
        <v>1.5987738027616547</v>
      </c>
      <c r="L15" s="4">
        <f t="shared" si="7"/>
        <v>1.5884788579734344</v>
      </c>
      <c r="M15" s="4">
        <f t="shared" si="7"/>
        <v>1.5736493562730256</v>
      </c>
      <c r="N15" s="4">
        <f t="shared" si="7"/>
        <v>1.5513568733675991</v>
      </c>
      <c r="O15" s="4">
        <f t="shared" si="7"/>
        <v>1.5158385319202634</v>
      </c>
      <c r="P15" s="4">
        <f t="shared" si="7"/>
        <v>1.4538776024367823</v>
      </c>
      <c r="Q15" s="4">
        <f t="shared" si="7"/>
        <v>1.322264996078035</v>
      </c>
    </row>
    <row r="16" spans="2:17" x14ac:dyDescent="0.3"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6:17" x14ac:dyDescent="0.3">
      <c r="F17" s="2" t="s">
        <v>16</v>
      </c>
      <c r="G17" s="10">
        <f>$C$11-(G13^2)/(2*$C$8)</f>
        <v>287.20219082161111</v>
      </c>
      <c r="H17" s="10">
        <f t="shared" ref="H17:Q17" si="8">$C$11-(H13^2)/(2*$C$8)</f>
        <v>286.97945301794226</v>
      </c>
      <c r="I17" s="10">
        <f t="shared" si="8"/>
        <v>286.7057951669529</v>
      </c>
      <c r="J17" s="10">
        <f t="shared" si="8"/>
        <v>286.34384800293356</v>
      </c>
      <c r="K17" s="10">
        <f t="shared" si="8"/>
        <v>285.85425694586866</v>
      </c>
      <c r="L17" s="10">
        <f t="shared" si="8"/>
        <v>285.1736456881834</v>
      </c>
      <c r="M17" s="10">
        <f t="shared" si="8"/>
        <v>284.19461940442437</v>
      </c>
      <c r="N17" s="10">
        <f t="shared" si="8"/>
        <v>282.72247140634676</v>
      </c>
      <c r="O17" s="10">
        <f t="shared" si="8"/>
        <v>280.36762163048746</v>
      </c>
      <c r="P17" s="10">
        <f t="shared" si="8"/>
        <v>276.20804719345927</v>
      </c>
      <c r="Q17" s="10">
        <f t="shared" si="8"/>
        <v>267.02909679923681</v>
      </c>
    </row>
    <row r="18" spans="6:17" x14ac:dyDescent="0.3">
      <c r="F18" s="2" t="s">
        <v>17</v>
      </c>
      <c r="G18" s="11">
        <f>SQRT($C$6*$C$7*G17)</f>
        <v>339.68600493138234</v>
      </c>
      <c r="H18" s="11">
        <f t="shared" ref="H18:Q18" si="9">SQRT($C$6*$C$7*H17)</f>
        <v>339.55425873938157</v>
      </c>
      <c r="I18" s="11">
        <f t="shared" si="9"/>
        <v>339.3923240600929</v>
      </c>
      <c r="J18" s="11">
        <f t="shared" si="9"/>
        <v>339.17802618792535</v>
      </c>
      <c r="K18" s="11">
        <f t="shared" si="9"/>
        <v>338.88793863750556</v>
      </c>
      <c r="L18" s="11">
        <f t="shared" si="9"/>
        <v>338.48425669534629</v>
      </c>
      <c r="M18" s="11">
        <f t="shared" si="9"/>
        <v>337.90273400435376</v>
      </c>
      <c r="N18" s="11">
        <f t="shared" si="9"/>
        <v>337.02641779271693</v>
      </c>
      <c r="O18" s="11">
        <f t="shared" si="9"/>
        <v>335.6199039990953</v>
      </c>
      <c r="P18" s="11">
        <f t="shared" si="9"/>
        <v>333.12094801570487</v>
      </c>
      <c r="Q18" s="11">
        <f t="shared" si="9"/>
        <v>327.53904126582955</v>
      </c>
    </row>
    <row r="19" spans="6:17" x14ac:dyDescent="0.3">
      <c r="F19" s="2" t="s">
        <v>18</v>
      </c>
      <c r="G19" s="12">
        <f>G13/G18</f>
        <v>0.1291309044137762</v>
      </c>
      <c r="H19" s="12">
        <f>H13/H18</f>
        <v>0.14341705680218364</v>
      </c>
      <c r="I19" s="12">
        <f t="shared" ref="I19:Q19" si="10">I13/I18</f>
        <v>0.15924988446109758</v>
      </c>
      <c r="J19" s="12">
        <f t="shared" si="10"/>
        <v>0.17808065223587702</v>
      </c>
      <c r="K19" s="12">
        <f t="shared" si="10"/>
        <v>0.20082496143392531</v>
      </c>
      <c r="L19" s="12">
        <f t="shared" si="10"/>
        <v>0.22882345686947625</v>
      </c>
      <c r="M19" s="12">
        <f t="shared" si="10"/>
        <v>0.26413082184243986</v>
      </c>
      <c r="N19" s="12">
        <f t="shared" si="10"/>
        <v>0.31010243923855008</v>
      </c>
      <c r="O19" s="12">
        <f t="shared" si="10"/>
        <v>0.37278262065490714</v>
      </c>
      <c r="P19" s="12">
        <f t="shared" si="10"/>
        <v>0.46514230522593369</v>
      </c>
      <c r="Q19" s="12">
        <f t="shared" si="10"/>
        <v>0.62901978619339138</v>
      </c>
    </row>
    <row r="20" spans="6:17" x14ac:dyDescent="0.3">
      <c r="F20" s="15" t="s">
        <v>21</v>
      </c>
      <c r="G20" s="17">
        <f>1-(($C$6-1)/($C$6+1))*G21^2</f>
        <v>0.99666426651346407</v>
      </c>
      <c r="H20" s="17">
        <f t="shared" ref="H20:Q20" si="11">1-(($C$6-1)/($C$6+1))*H21^2</f>
        <v>0.99588535061273165</v>
      </c>
      <c r="I20" s="17">
        <f t="shared" si="11"/>
        <v>0.99492680927541954</v>
      </c>
      <c r="J20" s="17">
        <f t="shared" si="11"/>
        <v>0.99365624911838191</v>
      </c>
      <c r="K20" s="17">
        <f t="shared" si="11"/>
        <v>0.99193255857213503</v>
      </c>
      <c r="L20" s="17">
        <f t="shared" si="11"/>
        <v>0.98952659842698532</v>
      </c>
      <c r="M20" s="17">
        <f t="shared" si="11"/>
        <v>0.98604562997959366</v>
      </c>
      <c r="N20" s="17">
        <f t="shared" si="11"/>
        <v>0.98076606507089703</v>
      </c>
      <c r="O20" s="17">
        <f t="shared" si="11"/>
        <v>0.97220564287053313</v>
      </c>
      <c r="P20" s="17">
        <f t="shared" si="11"/>
        <v>0.95672789505670663</v>
      </c>
      <c r="Q20" s="17">
        <f t="shared" si="11"/>
        <v>0.92086641730396857</v>
      </c>
    </row>
    <row r="21" spans="6:17" x14ac:dyDescent="0.3">
      <c r="F21" s="15" t="s">
        <v>19</v>
      </c>
      <c r="G21" s="17">
        <f>G5/SQRT((2*$C$6*$C$7*G17)/($C$6+1))</f>
        <v>0.1414722620134968</v>
      </c>
      <c r="H21" s="17">
        <f t="shared" ref="H21:Q21" si="12">H5/SQRT((2*$C$6*$C$7*H17)/($C$6+1))</f>
        <v>0.1571238248121849</v>
      </c>
      <c r="I21" s="17">
        <f t="shared" si="12"/>
        <v>0.1744681757441246</v>
      </c>
      <c r="J21" s="17">
        <f t="shared" si="12"/>
        <v>0.19509614370793812</v>
      </c>
      <c r="K21" s="17">
        <f t="shared" si="12"/>
        <v>0.22001056467176677</v>
      </c>
      <c r="L21" s="17">
        <f t="shared" si="12"/>
        <v>0.25067989436348537</v>
      </c>
      <c r="M21" s="17">
        <f t="shared" si="12"/>
        <v>0.28935483428212849</v>
      </c>
      <c r="N21" s="17">
        <f t="shared" si="12"/>
        <v>0.33971106778351817</v>
      </c>
      <c r="O21" s="17">
        <f t="shared" si="12"/>
        <v>0.40837010514581151</v>
      </c>
      <c r="P21" s="17">
        <f t="shared" si="12"/>
        <v>0.5095415877627264</v>
      </c>
      <c r="Q21" s="17">
        <f t="shared" si="12"/>
        <v>0.68905841274611035</v>
      </c>
    </row>
    <row r="22" spans="6:17" x14ac:dyDescent="0.3">
      <c r="F22" s="15" t="s">
        <v>20</v>
      </c>
      <c r="G22" s="17">
        <f>(1-(($C$6-1)/($C$6+1))*G21^2)^($C$6/($C$6-1))</f>
        <v>0.98837353277811757</v>
      </c>
      <c r="H22" s="17">
        <f t="shared" ref="H22:Q22" si="13">(1-(($C$6-1)/($C$6+1))*H21^2)^($C$6/($C$6-1))</f>
        <v>0.98567264507210839</v>
      </c>
      <c r="I22" s="17">
        <f t="shared" si="13"/>
        <v>0.98235614755376355</v>
      </c>
      <c r="J22" s="17">
        <f t="shared" si="13"/>
        <v>0.97797237779642965</v>
      </c>
      <c r="K22" s="17">
        <f t="shared" si="13"/>
        <v>0.97204754839576257</v>
      </c>
      <c r="L22" s="17">
        <f t="shared" si="13"/>
        <v>0.96382048779371476</v>
      </c>
      <c r="M22" s="17">
        <f t="shared" si="13"/>
        <v>0.95200569074833485</v>
      </c>
      <c r="N22" s="17">
        <f t="shared" si="13"/>
        <v>0.93428420622846475</v>
      </c>
      <c r="O22" s="17">
        <f t="shared" si="13"/>
        <v>0.90605274648230094</v>
      </c>
      <c r="P22" s="17">
        <f t="shared" si="13"/>
        <v>0.8565634297853324</v>
      </c>
      <c r="Q22" s="17">
        <f t="shared" si="13"/>
        <v>0.74935605872609079</v>
      </c>
    </row>
    <row r="23" spans="6:17" x14ac:dyDescent="0.3">
      <c r="F23" s="15" t="s">
        <v>5</v>
      </c>
      <c r="G23" s="16">
        <f>G14/G22</f>
        <v>135012.13006059005</v>
      </c>
      <c r="H23" s="16">
        <f t="shared" ref="H23:Q23" si="14">H14/H22</f>
        <v>134997.11609716722</v>
      </c>
      <c r="I23" s="16">
        <f t="shared" si="14"/>
        <v>134979.4903071372</v>
      </c>
      <c r="J23" s="16">
        <f t="shared" si="14"/>
        <v>134955.47745928151</v>
      </c>
      <c r="K23" s="16">
        <f t="shared" si="14"/>
        <v>134922.289673625</v>
      </c>
      <c r="L23" s="16">
        <f t="shared" si="14"/>
        <v>134875.85082331486</v>
      </c>
      <c r="M23" s="16">
        <f t="shared" si="14"/>
        <v>134810.52491421817</v>
      </c>
      <c r="N23" s="16">
        <f t="shared" si="14"/>
        <v>134720.15068359455</v>
      </c>
      <c r="O23" s="16">
        <f t="shared" si="14"/>
        <v>134606.75144549887</v>
      </c>
      <c r="P23" s="16">
        <f t="shared" si="14"/>
        <v>134537.75280497412</v>
      </c>
      <c r="Q23" s="16">
        <f t="shared" si="14"/>
        <v>135216.09496592719</v>
      </c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Q22"/>
  <sheetViews>
    <sheetView workbookViewId="0">
      <selection activeCell="E23" sqref="E23"/>
    </sheetView>
  </sheetViews>
  <sheetFormatPr defaultRowHeight="14.4" x14ac:dyDescent="0.3"/>
  <sheetData>
    <row r="1" spans="2:17" x14ac:dyDescent="0.3">
      <c r="B1" s="18"/>
      <c r="C1" s="18"/>
      <c r="D1" s="18"/>
      <c r="E1" s="18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</row>
    <row r="2" spans="2:17" x14ac:dyDescent="0.3">
      <c r="B2" s="18"/>
      <c r="C2" s="18"/>
      <c r="D2" s="18"/>
      <c r="E2" s="18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</row>
    <row r="3" spans="2:17" x14ac:dyDescent="0.3">
      <c r="B3" s="19"/>
      <c r="C3" s="19"/>
      <c r="D3" s="18"/>
      <c r="E3" s="18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2:17" x14ac:dyDescent="0.3">
      <c r="B4" s="19"/>
      <c r="C4" s="19"/>
      <c r="D4" s="18"/>
      <c r="E4" s="18"/>
      <c r="F4" s="19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2:17" x14ac:dyDescent="0.3">
      <c r="B5" s="19"/>
      <c r="C5" s="19"/>
      <c r="D5" s="18"/>
      <c r="E5" s="18"/>
      <c r="F5" s="19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2:17" x14ac:dyDescent="0.3">
      <c r="B6" s="19"/>
      <c r="C6" s="19"/>
      <c r="D6" s="18"/>
      <c r="E6" s="18"/>
      <c r="F6" s="19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7" spans="2:17" x14ac:dyDescent="0.3">
      <c r="B7" s="19"/>
      <c r="C7" s="19"/>
      <c r="D7" s="18"/>
      <c r="E7" s="18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2:17" x14ac:dyDescent="0.3">
      <c r="B8" s="19"/>
      <c r="C8" s="19"/>
      <c r="D8" s="18"/>
      <c r="E8" s="18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</row>
    <row r="9" spans="2:17" x14ac:dyDescent="0.3">
      <c r="B9" s="19"/>
      <c r="C9" s="19"/>
      <c r="D9" s="18"/>
      <c r="E9" s="18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</row>
    <row r="10" spans="2:17" x14ac:dyDescent="0.3">
      <c r="B10" s="19"/>
      <c r="C10" s="19"/>
      <c r="D10" s="18"/>
      <c r="E10" s="18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</row>
    <row r="11" spans="2:17" x14ac:dyDescent="0.3">
      <c r="B11" s="19"/>
      <c r="C11" s="19"/>
      <c r="D11" s="18"/>
      <c r="E11" s="18"/>
      <c r="F11" s="19"/>
      <c r="G11" s="20"/>
      <c r="H11" s="22"/>
      <c r="I11" s="22"/>
      <c r="J11" s="22"/>
      <c r="K11" s="22"/>
      <c r="L11" s="22"/>
      <c r="M11" s="22"/>
      <c r="N11" s="22"/>
      <c r="O11" s="22"/>
      <c r="P11" s="22"/>
      <c r="Q11" s="19"/>
    </row>
    <row r="12" spans="2:17" x14ac:dyDescent="0.3">
      <c r="B12" s="19"/>
      <c r="C12" s="19"/>
      <c r="D12" s="18"/>
      <c r="E12" s="1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</row>
    <row r="13" spans="2:17" x14ac:dyDescent="0.3">
      <c r="B13" s="19"/>
      <c r="C13" s="19"/>
      <c r="D13" s="18"/>
      <c r="E13" s="18"/>
      <c r="F13" s="19"/>
      <c r="G13" s="19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2:17" x14ac:dyDescent="0.3">
      <c r="B14" s="19"/>
      <c r="C14" s="19"/>
      <c r="D14" s="18"/>
      <c r="E14" s="18"/>
      <c r="F14" s="19"/>
      <c r="G14" s="21"/>
      <c r="H14" s="19"/>
      <c r="I14" s="19"/>
      <c r="J14" s="19"/>
      <c r="K14" s="19"/>
      <c r="L14" s="19"/>
      <c r="M14" s="19"/>
      <c r="N14" s="19"/>
      <c r="O14" s="19"/>
      <c r="P14" s="19"/>
      <c r="Q14" s="19"/>
    </row>
    <row r="15" spans="2:17" x14ac:dyDescent="0.3">
      <c r="B15" s="18"/>
      <c r="C15" s="18"/>
      <c r="D15" s="18"/>
      <c r="E15" s="18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</row>
    <row r="16" spans="2:17" x14ac:dyDescent="0.3">
      <c r="B16" s="18"/>
      <c r="C16" s="18"/>
      <c r="D16" s="18"/>
      <c r="E16" s="18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</row>
    <row r="17" spans="2:17" x14ac:dyDescent="0.3">
      <c r="B17" s="18"/>
      <c r="C17" s="18"/>
      <c r="D17" s="18"/>
      <c r="E17" s="18"/>
      <c r="F17" s="19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</row>
    <row r="18" spans="2:17" x14ac:dyDescent="0.3">
      <c r="B18" s="18"/>
      <c r="C18" s="18"/>
      <c r="D18" s="18"/>
      <c r="E18" s="18"/>
      <c r="F18" s="19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2:17" x14ac:dyDescent="0.3">
      <c r="B19" s="18"/>
      <c r="C19" s="18"/>
      <c r="D19" s="18"/>
      <c r="E19" s="18"/>
      <c r="F19" s="19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2:17" x14ac:dyDescent="0.3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</row>
    <row r="21" spans="2:17" x14ac:dyDescent="0.3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x14ac:dyDescent="0.3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</row>
  </sheetData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ro=const</vt:lpstr>
      <vt:lpstr>ro=var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2021-04-29T20:32:29Z</dcterms:modified>
</cp:coreProperties>
</file>